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65" windowWidth="27555" windowHeight="12240" activeTab="1"/>
  </bookViews>
  <sheets>
    <sheet name="Catches" sheetId="2" r:id="rId1"/>
    <sheet name="Indices" sheetId="1" r:id="rId2"/>
    <sheet name="Biology table" sheetId="3" r:id="rId3"/>
    <sheet name="Life history" sheetId="5" r:id="rId4"/>
    <sheet name="M and steepness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nnu1">[1]GG_select!$N$18</definedName>
    <definedName name="_nnu2">[1]GG_select!$N$22</definedName>
    <definedName name="_nu1">[1]GG_select!$N$4</definedName>
    <definedName name="_nu2">[1]GG_select!$N$8</definedName>
    <definedName name="_sl1">[1]GG_select!$N$6</definedName>
    <definedName name="_sl2">[1]GG_select!$N$10</definedName>
    <definedName name="_ssl1">[1]GG_select!$N$20</definedName>
    <definedName name="_ssl2">[1]GG_select!$N$24</definedName>
    <definedName name="a">[1]selectivity!$C$32</definedName>
    <definedName name="a_1">[1]GG_select!$E$5</definedName>
    <definedName name="a_2">[1]GG_select!$J$5</definedName>
    <definedName name="a_c">'[1]test dbl'!$H$22</definedName>
    <definedName name="alpha">'[2]Smith et al. D-D approach'!$C$8</definedName>
    <definedName name="b" localSheetId="4">'[2]Smith et al. D-D approach'!$E$8</definedName>
    <definedName name="b">[1]selectivity!$C$33</definedName>
    <definedName name="b_1">[1]GG_select!$F$5</definedName>
    <definedName name="b_2">[1]GG_select!$K$5</definedName>
    <definedName name="b_c">'[1]test dbl'!$H$23</definedName>
    <definedName name="b_ratio">'[2]Smith et al. D-D approach'!$G$8</definedName>
    <definedName name="BugFolio">'[3]###NCstats parameters###'!$E$56</definedName>
    <definedName name="BugFolioName">'[3]###NCstats parameters###'!$E$78</definedName>
    <definedName name="BugsArrayDims">'[3]###NCstats parameters###'!$E$9</definedName>
    <definedName name="BugsArrayFile">'[3]###NCstats parameters###'!$E$17</definedName>
    <definedName name="BugsArrayMVs">'[3]###NCstats parameters###'!$E$8</definedName>
    <definedName name="BugsArrayName">'[3]###NCstats parameters###'!$E$13</definedName>
    <definedName name="BugsArrayRange">'[3]###NCstats parameters###'!$E$4</definedName>
    <definedName name="BugsArrays">'[3]###NCstats parameters###'!$E$12</definedName>
    <definedName name="BugsCensor">'[3]###NCstats parameters###'!$E$62</definedName>
    <definedName name="BugsCODAfile">'[3]###NCstats parameters###'!$E$20</definedName>
    <definedName name="BugsCODAsheet">'[3]###NCstats parameters###'!$E$22</definedName>
    <definedName name="BugsConstPriorM">'[3]###NCstats parameters###'!$E$58</definedName>
    <definedName name="BugsConstPriorS">'[3]###NCstats parameters###'!$E$57</definedName>
    <definedName name="BugsCovCoeffs">'[3]###NCstats parameters###'!$E$33</definedName>
    <definedName name="BugsCovCoeffsSams">'[3]###NCstats parameters###'!$E$40</definedName>
    <definedName name="BugsCovPriorDist">'[3]###NCstats parameters###'!$E$53</definedName>
    <definedName name="BugsDeviance">'[3]###NCstats parameters###'!$E$36</definedName>
    <definedName name="BugsDevianceSams">'[3]###NCstats parameters###'!$E$43</definedName>
    <definedName name="BugsDFparm1">'[3]###NCstats parameters###'!$E$76</definedName>
    <definedName name="BugsDFparm2">'[3]###NCstats parameters###'!$E$77</definedName>
    <definedName name="BugsDIC">'[3]###NCstats parameters###'!$E$48</definedName>
    <definedName name="BugsErrorDist">'[3]###NCstats parameters###'!$E$61</definedName>
    <definedName name="BugsErrorParm1">'[3]###NCstats parameters###'!$E$59</definedName>
    <definedName name="BugsErrorParm2">'[3]###NCstats parameters###'!$E$60</definedName>
    <definedName name="BugsExcCovPriorG">'[3]###NCstats parameters###'!$E$72</definedName>
    <definedName name="BugsExcCovPriorM">'[3]###NCstats parameters###'!$E$71</definedName>
    <definedName name="BugsExcCovPriorS">'[3]###NCstats parameters###'!$E$70</definedName>
    <definedName name="BugsExcCovs">'[3]###NCstats parameters###'!$E$68</definedName>
    <definedName name="BugsExchCoeffs">'[3]###NCstats parameters###'!$E$73</definedName>
    <definedName name="BugsExchCoeffsSams">'[3]###NCstats parameters###'!$E$74</definedName>
    <definedName name="BugsHGLMdist">'[3]###NCstats parameters###'!$E$54</definedName>
    <definedName name="BugsHGLMlink">'[3]###NCstats parameters###'!$E$55</definedName>
    <definedName name="BugsIndCovPriorM">'[3]###NCstats parameters###'!$E$52</definedName>
    <definedName name="BugsIndCovPriorS">'[3]###NCstats parameters###'!$E$51</definedName>
    <definedName name="BugsIndCovs">'[3]###NCstats parameters###'!$E$26</definedName>
    <definedName name="BugsIntercept">'[3]###NCstats parameters###'!$E$66</definedName>
    <definedName name="BugsInterceptSams">'[3]###NCstats parameters###'!$E$67</definedName>
    <definedName name="BugsIOdir">'[3]###NCstats parameters###'!$E$14</definedName>
    <definedName name="BugsMCMCAutoQuit">'[3]###NCstats parameters###'!$E$30</definedName>
    <definedName name="BugsMCMCBurnIn">'[3]###NCstats parameters###'!$E$27</definedName>
    <definedName name="BugsMCMCChains">'[3]###NCstats parameters###'!$E$31</definedName>
    <definedName name="BugsMCMCOverRelax">'[3]###NCstats parameters###'!$E$65</definedName>
    <definedName name="BugsMCMCSamples">'[3]###NCstats parameters###'!$E$28</definedName>
    <definedName name="BugsMCMCThin">'[3]###NCstats parameters###'!$E$29</definedName>
    <definedName name="BugsModelList">'[3]###NCstats parameters###'!$E$46</definedName>
    <definedName name="BugsModelListChk">'[3]###NCstats parameters###'!$E$47</definedName>
    <definedName name="BugsNodeStatsFile">'[3]###NCstats parameters###'!$E$19</definedName>
    <definedName name="BugsNodeStatsSheet">'[3]###NCstats parameters###'!$E$21</definedName>
    <definedName name="BugsPredMeans">'[3]###NCstats parameters###'!$E$37</definedName>
    <definedName name="BugsPredMeansSams">'[3]###NCstats parameters###'!$E$44</definedName>
    <definedName name="BugsResponse">'[3]###NCstats parameters###'!$E$23</definedName>
    <definedName name="BugsScalars">'[3]###NCstats parameters###'!$E$10</definedName>
    <definedName name="BugsScalarsFile">'[3]###NCstats parameters###'!$E$15</definedName>
    <definedName name="BugsScalarsInRows">'[3]###NCstats parameters###'!$E$5</definedName>
    <definedName name="BugsScalarsRange">'[3]###NCstats parameters###'!$E$2</definedName>
    <definedName name="BugsScaledRes">'[3]###NCstats parameters###'!$E$38</definedName>
    <definedName name="BugsScaledResSams">'[3]###NCstats parameters###'!$E$45</definedName>
    <definedName name="BugsScriptFile">'[3]###NCstats parameters###'!$E$18</definedName>
    <definedName name="BugsVarCpts">'[3]###NCstats parameters###'!$E$34</definedName>
    <definedName name="BugsVarCptsSams">'[3]###NCstats parameters###'!$E$41</definedName>
    <definedName name="BugsVarCptsVar">'[3]###NCstats parameters###'!$E$75</definedName>
    <definedName name="BugsVectors">'[3]###NCstats parameters###'!$E$11</definedName>
    <definedName name="BugsVectorsFile">'[3]###NCstats parameters###'!$E$16</definedName>
    <definedName name="BugsVectorsInRows">'[3]###NCstats parameters###'!$E$6</definedName>
    <definedName name="BugsVectorsMVs">'[3]###NCstats parameters###'!$E$7</definedName>
    <definedName name="BugsVectorsRange">'[3]###NCstats parameters###'!$E$3</definedName>
    <definedName name="BugsWeibRParm1">'[3]###NCstats parameters###'!$E$63</definedName>
    <definedName name="BugsWeibRParm2">'[3]###NCstats parameters###'!$E$64</definedName>
    <definedName name="BugsXeffs">'[3]###NCstats parameters###'!$E$32</definedName>
    <definedName name="BugsXeffsSams">'[3]###NCstats parameters###'!$E$39</definedName>
    <definedName name="BugsXprior">'[3]###NCstats parameters###'!$E$49</definedName>
    <definedName name="BugsXterms">'[3]###NCstats parameters###'!$E$24</definedName>
    <definedName name="BugsZeffs">'[3]###NCstats parameters###'!$E$35</definedName>
    <definedName name="BugsZeffsSams">'[3]###NCstats parameters###'!$E$42</definedName>
    <definedName name="BugsZprior">'[3]###NCstats parameters###'!$E$50</definedName>
    <definedName name="BugsZpriorDist">'[3]###NCstats parameters###'!$E$69</definedName>
    <definedName name="BugsZterms">'[3]###NCstats parameters###'!$E$25</definedName>
    <definedName name="c_c">'[1]test dbl'!$H$24</definedName>
    <definedName name="d_c">'[1]test dbl'!$H$25</definedName>
    <definedName name="FNWTBLEN">[4]FNWTBLEN!$A$1:$J$207</definedName>
    <definedName name="ga_1">[1]LG_select!$E$5</definedName>
    <definedName name="gb_1">[1]LG_select!$F$5</definedName>
    <definedName name="infl1">[1]LG_select!$N$4</definedName>
    <definedName name="infl2">[1]LG_select!$P$4</definedName>
    <definedName name="l_alpha">'[2]Smith et al. D-D approach'!$I$8</definedName>
    <definedName name="la_1">[1]LG_select!$J$5</definedName>
    <definedName name="lb_1">[1]LG_select!$K$5</definedName>
    <definedName name="M">'[2]Smith et al. D-D approach'!$D$8</definedName>
    <definedName name="maturity_age">#REF!</definedName>
    <definedName name="max">[1]LG_select!$R$4</definedName>
    <definedName name="max_age">[5]matrix!$J$2</definedName>
    <definedName name="max_c">'[1]test dbl'!$H$26</definedName>
    <definedName name="max2GG">[1]GG_select!$N$26</definedName>
    <definedName name="maxGG">[1]GG_select!$N$13</definedName>
    <definedName name="maximum_age">#REF!</definedName>
    <definedName name="p0">[5]matrix!$B$7</definedName>
    <definedName name="p0c">'[5]matrix with stochasticity'!$B$8</definedName>
    <definedName name="r_">'[2]Smith et al. D-D approach'!$J$8</definedName>
    <definedName name="slope1">[1]LG_select!$O$4</definedName>
    <definedName name="slope2">[1]LG_select!$Q$4</definedName>
    <definedName name="TL">'[6]Age length key-BLLOP'!$K$5:$K$115</definedName>
    <definedName name="w">'[2]Smith et al. D-D approach'!$B$8</definedName>
    <definedName name="Z">'[2]Smith et al. D-D approach'!$H$8</definedName>
  </definedNames>
  <calcPr calcId="145621"/>
</workbook>
</file>

<file path=xl/calcChain.xml><?xml version="1.0" encoding="utf-8"?>
<calcChain xmlns="http://schemas.openxmlformats.org/spreadsheetml/2006/main">
  <c r="K119" i="1" l="1"/>
  <c r="M88" i="1"/>
  <c r="F128" i="1"/>
  <c r="M51" i="1"/>
  <c r="F51" i="1"/>
  <c r="F82" i="1"/>
  <c r="F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24" i="1"/>
  <c r="T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M129" i="1" l="1"/>
  <c r="M150" i="1"/>
  <c r="M138" i="1"/>
  <c r="M126" i="1"/>
  <c r="M149" i="1"/>
  <c r="M143" i="1"/>
  <c r="M137" i="1"/>
  <c r="M131" i="1"/>
  <c r="M78" i="1"/>
  <c r="M144" i="1"/>
  <c r="M132" i="1"/>
  <c r="M148" i="1"/>
  <c r="M128" i="1"/>
  <c r="M136" i="1"/>
  <c r="M130" i="1"/>
  <c r="M139" i="1"/>
  <c r="M133" i="1"/>
  <c r="M127" i="1"/>
  <c r="M79" i="1"/>
  <c r="M95" i="1"/>
  <c r="M75" i="1"/>
  <c r="M83" i="1"/>
  <c r="M146" i="1"/>
  <c r="M134" i="1"/>
  <c r="M100" i="1"/>
  <c r="M94" i="1"/>
  <c r="M82" i="1"/>
  <c r="M145" i="1"/>
  <c r="M99" i="1"/>
  <c r="M93" i="1"/>
  <c r="M87" i="1"/>
  <c r="M81" i="1"/>
  <c r="M86" i="1"/>
  <c r="M80" i="1"/>
  <c r="M142" i="1"/>
  <c r="M147" i="1"/>
  <c r="M141" i="1"/>
  <c r="M135" i="1"/>
  <c r="M77" i="1"/>
  <c r="M140" i="1"/>
  <c r="F147" i="1"/>
  <c r="F136" i="1"/>
  <c r="F135" i="1"/>
  <c r="F148" i="1"/>
  <c r="F139" i="1"/>
  <c r="F141" i="1"/>
  <c r="F129" i="1"/>
  <c r="F144" i="1"/>
  <c r="F132" i="1"/>
  <c r="F126" i="1"/>
  <c r="F149" i="1"/>
  <c r="F143" i="1"/>
  <c r="F137" i="1"/>
  <c r="F131" i="1"/>
  <c r="F150" i="1"/>
  <c r="F140" i="1"/>
  <c r="F125" i="1"/>
  <c r="F145" i="1"/>
  <c r="F127" i="1"/>
  <c r="F138" i="1"/>
  <c r="F142" i="1"/>
  <c r="F130" i="1"/>
  <c r="F146" i="1"/>
  <c r="F134" i="1"/>
  <c r="F133" i="1"/>
  <c r="AH13" i="1"/>
  <c r="C128" i="1"/>
  <c r="D88" i="1"/>
  <c r="D134" i="1"/>
  <c r="M89" i="1" l="1"/>
  <c r="M85" i="1"/>
  <c r="M96" i="1"/>
  <c r="M90" i="1"/>
  <c r="M92" i="1"/>
  <c r="M97" i="1"/>
  <c r="M84" i="1"/>
  <c r="M98" i="1"/>
  <c r="M76" i="1"/>
  <c r="M91" i="1"/>
  <c r="AC8" i="5"/>
  <c r="AE8" i="5" s="1"/>
  <c r="AC9" i="5"/>
  <c r="AE9" i="5" s="1"/>
  <c r="AC10" i="5"/>
  <c r="AE10" i="5" s="1"/>
  <c r="AC11" i="5"/>
  <c r="AF11" i="5" s="1"/>
  <c r="AC12" i="5"/>
  <c r="AF12" i="5" s="1"/>
  <c r="AC13" i="5"/>
  <c r="AF13" i="5" s="1"/>
  <c r="AC14" i="5"/>
  <c r="AE14" i="5" s="1"/>
  <c r="AC15" i="5"/>
  <c r="AE15" i="5" s="1"/>
  <c r="AC16" i="5"/>
  <c r="AF16" i="5" s="1"/>
  <c r="AC17" i="5"/>
  <c r="AE17" i="5" s="1"/>
  <c r="AC18" i="5"/>
  <c r="AF18" i="5" s="1"/>
  <c r="AC19" i="5"/>
  <c r="AE19" i="5" s="1"/>
  <c r="AC20" i="5"/>
  <c r="AE20" i="5" s="1"/>
  <c r="AC21" i="5"/>
  <c r="AE21" i="5" s="1"/>
  <c r="AC22" i="5"/>
  <c r="AF22" i="5" s="1"/>
  <c r="AC23" i="5"/>
  <c r="AF23" i="5" s="1"/>
  <c r="AC24" i="5"/>
  <c r="AF24" i="5" s="1"/>
  <c r="AC25" i="5"/>
  <c r="AF25" i="5" s="1"/>
  <c r="AC26" i="5"/>
  <c r="AE26" i="5" s="1"/>
  <c r="AC27" i="5"/>
  <c r="AE27" i="5" s="1"/>
  <c r="AC28" i="5"/>
  <c r="AE28" i="5" s="1"/>
  <c r="AC29" i="5"/>
  <c r="AF29" i="5" s="1"/>
  <c r="AC30" i="5"/>
  <c r="AE30" i="5" s="1"/>
  <c r="AC31" i="5"/>
  <c r="AE31" i="5" s="1"/>
  <c r="AC32" i="5"/>
  <c r="AE32" i="5" s="1"/>
  <c r="AC33" i="5"/>
  <c r="AE33" i="5" s="1"/>
  <c r="AC34" i="5"/>
  <c r="AE34" i="5" s="1"/>
  <c r="AC35" i="5"/>
  <c r="AF35" i="5" s="1"/>
  <c r="AC36" i="5"/>
  <c r="AE36" i="5" s="1"/>
  <c r="AF8" i="5"/>
  <c r="AF68" i="5"/>
  <c r="AF32" i="5"/>
  <c r="AF27" i="5"/>
  <c r="AF26" i="5"/>
  <c r="AF20" i="5"/>
  <c r="AF17" i="5"/>
  <c r="AF14" i="5"/>
  <c r="AF10" i="5"/>
  <c r="AF21" i="5" l="1"/>
  <c r="AF19" i="5"/>
  <c r="AE25" i="5"/>
  <c r="AE13" i="5"/>
  <c r="AE24" i="5"/>
  <c r="AE18" i="5"/>
  <c r="AE12" i="5"/>
  <c r="AE35" i="5"/>
  <c r="AE29" i="5"/>
  <c r="AE23" i="5"/>
  <c r="AE11" i="5"/>
  <c r="AE22" i="5"/>
  <c r="AE16" i="5"/>
  <c r="AF28" i="5"/>
  <c r="AF34" i="5"/>
  <c r="AF31" i="5"/>
  <c r="AF9" i="5"/>
  <c r="AF15" i="5"/>
  <c r="AF30" i="5"/>
  <c r="AF33" i="5"/>
  <c r="AF36" i="5"/>
  <c r="T9" i="5"/>
  <c r="V9" i="5" s="1"/>
  <c r="T10" i="5"/>
  <c r="V10" i="5" s="1"/>
  <c r="T11" i="5"/>
  <c r="V11" i="5" s="1"/>
  <c r="T12" i="5"/>
  <c r="V12" i="5" s="1"/>
  <c r="T13" i="5"/>
  <c r="V13" i="5" s="1"/>
  <c r="T14" i="5"/>
  <c r="V14" i="5" s="1"/>
  <c r="T15" i="5"/>
  <c r="V15" i="5" s="1"/>
  <c r="T16" i="5"/>
  <c r="V16" i="5" s="1"/>
  <c r="T17" i="5"/>
  <c r="V17" i="5" s="1"/>
  <c r="T18" i="5"/>
  <c r="V18" i="5" s="1"/>
  <c r="T19" i="5"/>
  <c r="V19" i="5" s="1"/>
  <c r="T20" i="5"/>
  <c r="V20" i="5" s="1"/>
  <c r="T21" i="5"/>
  <c r="V21" i="5" s="1"/>
  <c r="T22" i="5"/>
  <c r="V22" i="5" s="1"/>
  <c r="T23" i="5"/>
  <c r="V23" i="5" s="1"/>
  <c r="T24" i="5"/>
  <c r="V24" i="5" s="1"/>
  <c r="T25" i="5"/>
  <c r="V25" i="5" s="1"/>
  <c r="T26" i="5"/>
  <c r="V26" i="5" s="1"/>
  <c r="T27" i="5"/>
  <c r="V27" i="5" s="1"/>
  <c r="T28" i="5"/>
  <c r="V28" i="5" s="1"/>
  <c r="T29" i="5"/>
  <c r="V29" i="5" s="1"/>
  <c r="T30" i="5"/>
  <c r="V30" i="5" s="1"/>
  <c r="T31" i="5"/>
  <c r="V31" i="5" s="1"/>
  <c r="T32" i="5"/>
  <c r="V32" i="5" s="1"/>
  <c r="T33" i="5"/>
  <c r="V33" i="5" s="1"/>
  <c r="T34" i="5"/>
  <c r="V34" i="5" s="1"/>
  <c r="T35" i="5"/>
  <c r="V35" i="5" s="1"/>
  <c r="T36" i="5"/>
  <c r="V36" i="5" s="1"/>
  <c r="T8" i="5"/>
  <c r="W68" i="5"/>
  <c r="Q145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D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C145" i="2"/>
  <c r="Q100" i="2"/>
  <c r="W31" i="5" l="1"/>
  <c r="W25" i="5"/>
  <c r="W19" i="5"/>
  <c r="W13" i="5"/>
  <c r="X36" i="5"/>
  <c r="X30" i="5"/>
  <c r="X24" i="5"/>
  <c r="X18" i="5"/>
  <c r="X12" i="5"/>
  <c r="W36" i="5"/>
  <c r="W30" i="5"/>
  <c r="W24" i="5"/>
  <c r="W18" i="5"/>
  <c r="W12" i="5"/>
  <c r="X35" i="5"/>
  <c r="X29" i="5"/>
  <c r="X23" i="5"/>
  <c r="X17" i="5"/>
  <c r="X11" i="5"/>
  <c r="W8" i="5"/>
  <c r="V8" i="5"/>
  <c r="W35" i="5"/>
  <c r="W29" i="5"/>
  <c r="W23" i="5"/>
  <c r="W17" i="5"/>
  <c r="W11" i="5"/>
  <c r="X34" i="5"/>
  <c r="X28" i="5"/>
  <c r="X22" i="5"/>
  <c r="X16" i="5"/>
  <c r="X10" i="5"/>
  <c r="W34" i="5"/>
  <c r="W28" i="5"/>
  <c r="W22" i="5"/>
  <c r="W16" i="5"/>
  <c r="W10" i="5"/>
  <c r="X33" i="5"/>
  <c r="X27" i="5"/>
  <c r="X21" i="5"/>
  <c r="X15" i="5"/>
  <c r="X9" i="5"/>
  <c r="W33" i="5"/>
  <c r="W27" i="5"/>
  <c r="W21" i="5"/>
  <c r="W15" i="5"/>
  <c r="W9" i="5"/>
  <c r="X32" i="5"/>
  <c r="X26" i="5"/>
  <c r="X20" i="5"/>
  <c r="X14" i="5"/>
  <c r="W32" i="5"/>
  <c r="W26" i="5"/>
  <c r="W20" i="5"/>
  <c r="W14" i="5"/>
  <c r="X8" i="5"/>
  <c r="X31" i="5"/>
  <c r="X25" i="5"/>
  <c r="X19" i="5"/>
  <c r="X13" i="5"/>
  <c r="K9" i="5"/>
  <c r="M9" i="5" s="1"/>
  <c r="K10" i="5"/>
  <c r="M10" i="5" s="1"/>
  <c r="K11" i="5"/>
  <c r="M11" i="5" s="1"/>
  <c r="K12" i="5"/>
  <c r="N12" i="5" s="1"/>
  <c r="K13" i="5"/>
  <c r="N13" i="5" s="1"/>
  <c r="K14" i="5"/>
  <c r="N14" i="5" s="1"/>
  <c r="K15" i="5"/>
  <c r="N15" i="5" s="1"/>
  <c r="K16" i="5"/>
  <c r="N16" i="5" s="1"/>
  <c r="K17" i="5"/>
  <c r="N17" i="5" s="1"/>
  <c r="K18" i="5"/>
  <c r="M18" i="5" s="1"/>
  <c r="K19" i="5"/>
  <c r="N19" i="5" s="1"/>
  <c r="K20" i="5"/>
  <c r="N20" i="5" s="1"/>
  <c r="K21" i="5"/>
  <c r="N21" i="5" s="1"/>
  <c r="K22" i="5"/>
  <c r="N22" i="5" s="1"/>
  <c r="K23" i="5"/>
  <c r="N23" i="5" s="1"/>
  <c r="K24" i="5"/>
  <c r="M24" i="5" s="1"/>
  <c r="K25" i="5"/>
  <c r="N25" i="5" s="1"/>
  <c r="K26" i="5"/>
  <c r="N26" i="5" s="1"/>
  <c r="K27" i="5"/>
  <c r="N27" i="5" s="1"/>
  <c r="K28" i="5"/>
  <c r="N28" i="5" s="1"/>
  <c r="K29" i="5"/>
  <c r="N29" i="5" s="1"/>
  <c r="K30" i="5"/>
  <c r="M30" i="5" s="1"/>
  <c r="K31" i="5"/>
  <c r="N31" i="5" s="1"/>
  <c r="K32" i="5"/>
  <c r="N32" i="5" s="1"/>
  <c r="K33" i="5"/>
  <c r="N33" i="5" s="1"/>
  <c r="K34" i="5"/>
  <c r="N34" i="5" s="1"/>
  <c r="K35" i="5"/>
  <c r="N35" i="5" s="1"/>
  <c r="K36" i="5"/>
  <c r="M36" i="5" s="1"/>
  <c r="K37" i="5"/>
  <c r="N37" i="5" s="1"/>
  <c r="K8" i="5"/>
  <c r="M8" i="5" s="1"/>
  <c r="N68" i="5"/>
  <c r="B9" i="5"/>
  <c r="F9" i="5" s="1"/>
  <c r="B10" i="5"/>
  <c r="F10" i="5" s="1"/>
  <c r="B11" i="5"/>
  <c r="D11" i="5" s="1"/>
  <c r="B12" i="5"/>
  <c r="D12" i="5" s="1"/>
  <c r="B13" i="5"/>
  <c r="D13" i="5" s="1"/>
  <c r="B14" i="5"/>
  <c r="D14" i="5" s="1"/>
  <c r="B15" i="5"/>
  <c r="F15" i="5" s="1"/>
  <c r="B16" i="5"/>
  <c r="F16" i="5" s="1"/>
  <c r="B17" i="5"/>
  <c r="E17" i="5" s="1"/>
  <c r="B18" i="5"/>
  <c r="D18" i="5" s="1"/>
  <c r="B19" i="5"/>
  <c r="F19" i="5" s="1"/>
  <c r="B20" i="5"/>
  <c r="D20" i="5" s="1"/>
  <c r="B21" i="5"/>
  <c r="E21" i="5" s="1"/>
  <c r="B22" i="5"/>
  <c r="F22" i="5" s="1"/>
  <c r="B23" i="5"/>
  <c r="D23" i="5" s="1"/>
  <c r="B24" i="5"/>
  <c r="F24" i="5" s="1"/>
  <c r="B25" i="5"/>
  <c r="D25" i="5" s="1"/>
  <c r="B26" i="5"/>
  <c r="D26" i="5" s="1"/>
  <c r="B27" i="5"/>
  <c r="E27" i="5" s="1"/>
  <c r="B28" i="5"/>
  <c r="F28" i="5" s="1"/>
  <c r="B29" i="5"/>
  <c r="E29" i="5" s="1"/>
  <c r="B30" i="5"/>
  <c r="D30" i="5" s="1"/>
  <c r="B31" i="5"/>
  <c r="F31" i="5" s="1"/>
  <c r="B32" i="5"/>
  <c r="D32" i="5" s="1"/>
  <c r="B33" i="5"/>
  <c r="F33" i="5" s="1"/>
  <c r="B34" i="5"/>
  <c r="F34" i="5" s="1"/>
  <c r="B35" i="5"/>
  <c r="D35" i="5" s="1"/>
  <c r="B36" i="5"/>
  <c r="F36" i="5" s="1"/>
  <c r="B37" i="5"/>
  <c r="D37" i="5" s="1"/>
  <c r="B38" i="5"/>
  <c r="D38" i="5" s="1"/>
  <c r="B39" i="5"/>
  <c r="E39" i="5" s="1"/>
  <c r="B40" i="5"/>
  <c r="F40" i="5" s="1"/>
  <c r="B8" i="5"/>
  <c r="D8" i="5" s="1"/>
  <c r="E68" i="5"/>
  <c r="M12" i="5" l="1"/>
  <c r="N36" i="5"/>
  <c r="N30" i="5"/>
  <c r="N24" i="5"/>
  <c r="N18" i="5"/>
  <c r="N11" i="5"/>
  <c r="M37" i="5"/>
  <c r="M31" i="5"/>
  <c r="M25" i="5"/>
  <c r="M19" i="5"/>
  <c r="M13" i="5"/>
  <c r="M35" i="5"/>
  <c r="M29" i="5"/>
  <c r="M23" i="5"/>
  <c r="M17" i="5"/>
  <c r="N10" i="5"/>
  <c r="M34" i="5"/>
  <c r="M28" i="5"/>
  <c r="M22" i="5"/>
  <c r="M16" i="5"/>
  <c r="N9" i="5"/>
  <c r="M33" i="5"/>
  <c r="M27" i="5"/>
  <c r="M21" i="5"/>
  <c r="M15" i="5"/>
  <c r="M32" i="5"/>
  <c r="M26" i="5"/>
  <c r="M20" i="5"/>
  <c r="M14" i="5"/>
  <c r="N8" i="5"/>
  <c r="D19" i="5"/>
  <c r="D17" i="5"/>
  <c r="D22" i="5"/>
  <c r="D16" i="5"/>
  <c r="D10" i="5"/>
  <c r="D21" i="5"/>
  <c r="D15" i="5"/>
  <c r="D9" i="5"/>
  <c r="D39" i="5"/>
  <c r="E34" i="5"/>
  <c r="E16" i="5"/>
  <c r="F27" i="5"/>
  <c r="D34" i="5"/>
  <c r="E33" i="5"/>
  <c r="E15" i="5"/>
  <c r="F21" i="5"/>
  <c r="D33" i="5"/>
  <c r="E28" i="5"/>
  <c r="E10" i="5"/>
  <c r="D27" i="5"/>
  <c r="E9" i="5"/>
  <c r="E40" i="5"/>
  <c r="E22" i="5"/>
  <c r="F39" i="5"/>
  <c r="D40" i="5"/>
  <c r="D28" i="5"/>
  <c r="E38" i="5"/>
  <c r="E32" i="5"/>
  <c r="E26" i="5"/>
  <c r="E20" i="5"/>
  <c r="E14" i="5"/>
  <c r="F8" i="5"/>
  <c r="F35" i="5"/>
  <c r="F29" i="5"/>
  <c r="F23" i="5"/>
  <c r="F17" i="5"/>
  <c r="F11" i="5"/>
  <c r="E37" i="5"/>
  <c r="E31" i="5"/>
  <c r="E25" i="5"/>
  <c r="E19" i="5"/>
  <c r="E13" i="5"/>
  <c r="E8" i="5"/>
  <c r="E36" i="5"/>
  <c r="E30" i="5"/>
  <c r="E24" i="5"/>
  <c r="E18" i="5"/>
  <c r="E12" i="5"/>
  <c r="E35" i="5"/>
  <c r="E23" i="5"/>
  <c r="E11" i="5"/>
  <c r="F38" i="5"/>
  <c r="F32" i="5"/>
  <c r="F26" i="5"/>
  <c r="F20" i="5"/>
  <c r="F14" i="5"/>
  <c r="F37" i="5"/>
  <c r="F25" i="5"/>
  <c r="F13" i="5"/>
  <c r="F30" i="5"/>
  <c r="F18" i="5"/>
  <c r="F12" i="5"/>
  <c r="D31" i="5"/>
  <c r="D36" i="5"/>
  <c r="D24" i="5"/>
  <c r="D29" i="5"/>
  <c r="AH68" i="1" l="1"/>
  <c r="AH69" i="1"/>
  <c r="AH70" i="1"/>
  <c r="AH71" i="1"/>
  <c r="AH67" i="1"/>
  <c r="AG73" i="1"/>
  <c r="AI71" i="1" s="1"/>
  <c r="AF73" i="1"/>
  <c r="AI13" i="1" l="1"/>
  <c r="AI70" i="1"/>
  <c r="AI69" i="1"/>
  <c r="AI68" i="1"/>
  <c r="K116" i="1" l="1"/>
  <c r="N51" i="1"/>
  <c r="L51" i="1"/>
  <c r="M125" i="1"/>
  <c r="C127" i="1"/>
  <c r="B121" i="1"/>
  <c r="B51" i="1"/>
  <c r="B71" i="1" s="1"/>
  <c r="F77" i="1" l="1"/>
  <c r="F83" i="1"/>
  <c r="F89" i="1"/>
  <c r="F95" i="1"/>
  <c r="F75" i="1"/>
  <c r="F78" i="1"/>
  <c r="F84" i="1"/>
  <c r="F90" i="1"/>
  <c r="F96" i="1"/>
  <c r="F80" i="1"/>
  <c r="F97" i="1"/>
  <c r="F86" i="1"/>
  <c r="F88" i="1"/>
  <c r="F99" i="1"/>
  <c r="F91" i="1"/>
  <c r="F100" i="1"/>
  <c r="F93" i="1"/>
  <c r="F98" i="1"/>
  <c r="F85" i="1"/>
  <c r="F94" i="1"/>
  <c r="F87" i="1"/>
  <c r="F92" i="1"/>
  <c r="F79" i="1"/>
  <c r="F81" i="1"/>
  <c r="F76" i="1"/>
  <c r="B84" i="1"/>
  <c r="G51" i="1"/>
  <c r="X4" i="1"/>
  <c r="Y4" i="1"/>
  <c r="Z4" i="1"/>
  <c r="AA4" i="1"/>
  <c r="AB4" i="1"/>
  <c r="W4" i="1"/>
  <c r="Q4" i="1"/>
  <c r="R4" i="1"/>
  <c r="S4" i="1"/>
  <c r="T4" i="1"/>
  <c r="U4" i="1"/>
  <c r="P4" i="1"/>
  <c r="B122" i="1"/>
  <c r="AI54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9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P74" i="2"/>
  <c r="O74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8" i="2"/>
  <c r="Q74" i="2" s="1"/>
  <c r="N74" i="2"/>
  <c r="M74" i="2"/>
  <c r="L74" i="2"/>
  <c r="K74" i="2"/>
  <c r="J74" i="2"/>
  <c r="I74" i="2"/>
  <c r="H74" i="2"/>
  <c r="G74" i="2"/>
  <c r="F74" i="2"/>
  <c r="E74" i="2"/>
  <c r="D74" i="2"/>
  <c r="C74" i="2"/>
  <c r="G150" i="1"/>
  <c r="E150" i="1"/>
  <c r="D150" i="1"/>
  <c r="C150" i="1"/>
  <c r="B150" i="1"/>
  <c r="N149" i="1"/>
  <c r="J149" i="1"/>
  <c r="G149" i="1"/>
  <c r="E149" i="1"/>
  <c r="D149" i="1"/>
  <c r="C149" i="1"/>
  <c r="B149" i="1"/>
  <c r="N148" i="1"/>
  <c r="J148" i="1"/>
  <c r="G148" i="1"/>
  <c r="E148" i="1"/>
  <c r="D148" i="1"/>
  <c r="C148" i="1"/>
  <c r="B148" i="1"/>
  <c r="N147" i="1"/>
  <c r="L147" i="1"/>
  <c r="K147" i="1"/>
  <c r="J147" i="1"/>
  <c r="G147" i="1"/>
  <c r="E147" i="1"/>
  <c r="D147" i="1"/>
  <c r="C147" i="1"/>
  <c r="B147" i="1"/>
  <c r="N146" i="1"/>
  <c r="L146" i="1"/>
  <c r="K146" i="1"/>
  <c r="J146" i="1"/>
  <c r="G146" i="1"/>
  <c r="E146" i="1"/>
  <c r="D146" i="1"/>
  <c r="C146" i="1"/>
  <c r="B146" i="1"/>
  <c r="N145" i="1"/>
  <c r="L145" i="1"/>
  <c r="K145" i="1"/>
  <c r="J145" i="1"/>
  <c r="I145" i="1"/>
  <c r="G145" i="1"/>
  <c r="E145" i="1"/>
  <c r="D145" i="1"/>
  <c r="C145" i="1"/>
  <c r="B145" i="1"/>
  <c r="N144" i="1"/>
  <c r="L144" i="1"/>
  <c r="K144" i="1"/>
  <c r="J144" i="1"/>
  <c r="I144" i="1"/>
  <c r="G144" i="1"/>
  <c r="E144" i="1"/>
  <c r="D144" i="1"/>
  <c r="C144" i="1"/>
  <c r="B144" i="1"/>
  <c r="N143" i="1"/>
  <c r="L143" i="1"/>
  <c r="K143" i="1"/>
  <c r="J143" i="1"/>
  <c r="I143" i="1"/>
  <c r="G143" i="1"/>
  <c r="E143" i="1"/>
  <c r="D143" i="1"/>
  <c r="C143" i="1"/>
  <c r="B143" i="1"/>
  <c r="N142" i="1"/>
  <c r="L142" i="1"/>
  <c r="K142" i="1"/>
  <c r="J142" i="1"/>
  <c r="I142" i="1"/>
  <c r="G142" i="1"/>
  <c r="E142" i="1"/>
  <c r="D142" i="1"/>
  <c r="C142" i="1"/>
  <c r="B142" i="1"/>
  <c r="L141" i="1"/>
  <c r="K141" i="1"/>
  <c r="J141" i="1"/>
  <c r="I141" i="1"/>
  <c r="E141" i="1"/>
  <c r="D141" i="1"/>
  <c r="C141" i="1"/>
  <c r="B141" i="1"/>
  <c r="L140" i="1"/>
  <c r="K140" i="1"/>
  <c r="J140" i="1"/>
  <c r="I140" i="1"/>
  <c r="E140" i="1"/>
  <c r="D140" i="1"/>
  <c r="C140" i="1"/>
  <c r="B140" i="1"/>
  <c r="L139" i="1"/>
  <c r="K139" i="1"/>
  <c r="J139" i="1"/>
  <c r="I139" i="1"/>
  <c r="E139" i="1"/>
  <c r="D139" i="1"/>
  <c r="C139" i="1"/>
  <c r="B139" i="1"/>
  <c r="L138" i="1"/>
  <c r="K138" i="1"/>
  <c r="J138" i="1"/>
  <c r="I138" i="1"/>
  <c r="E138" i="1"/>
  <c r="D138" i="1"/>
  <c r="C138" i="1"/>
  <c r="B138" i="1"/>
  <c r="L137" i="1"/>
  <c r="K137" i="1"/>
  <c r="J137" i="1"/>
  <c r="I137" i="1"/>
  <c r="E137" i="1"/>
  <c r="D137" i="1"/>
  <c r="C137" i="1"/>
  <c r="B137" i="1"/>
  <c r="L136" i="1"/>
  <c r="K136" i="1"/>
  <c r="J136" i="1"/>
  <c r="I136" i="1"/>
  <c r="E136" i="1"/>
  <c r="D136" i="1"/>
  <c r="C136" i="1"/>
  <c r="B136" i="1"/>
  <c r="K135" i="1"/>
  <c r="J135" i="1"/>
  <c r="I135" i="1"/>
  <c r="E135" i="1"/>
  <c r="D135" i="1"/>
  <c r="C135" i="1"/>
  <c r="B135" i="1"/>
  <c r="K134" i="1"/>
  <c r="J134" i="1"/>
  <c r="I134" i="1"/>
  <c r="E134" i="1"/>
  <c r="C134" i="1"/>
  <c r="B134" i="1"/>
  <c r="K133" i="1"/>
  <c r="J133" i="1"/>
  <c r="I133" i="1"/>
  <c r="D133" i="1"/>
  <c r="C133" i="1"/>
  <c r="B133" i="1"/>
  <c r="K132" i="1"/>
  <c r="J132" i="1"/>
  <c r="I132" i="1"/>
  <c r="D132" i="1"/>
  <c r="C132" i="1"/>
  <c r="B132" i="1"/>
  <c r="K131" i="1"/>
  <c r="J131" i="1"/>
  <c r="I131" i="1"/>
  <c r="D131" i="1"/>
  <c r="C131" i="1"/>
  <c r="B131" i="1"/>
  <c r="K130" i="1"/>
  <c r="J130" i="1"/>
  <c r="I130" i="1"/>
  <c r="D130" i="1"/>
  <c r="C130" i="1"/>
  <c r="B130" i="1"/>
  <c r="K129" i="1"/>
  <c r="J129" i="1"/>
  <c r="I129" i="1"/>
  <c r="D129" i="1"/>
  <c r="C129" i="1"/>
  <c r="B129" i="1"/>
  <c r="K128" i="1"/>
  <c r="I128" i="1"/>
  <c r="B128" i="1"/>
  <c r="AJ73" i="1"/>
  <c r="K127" i="1"/>
  <c r="I127" i="1"/>
  <c r="B127" i="1"/>
  <c r="K126" i="1"/>
  <c r="I126" i="1"/>
  <c r="B126" i="1"/>
  <c r="K125" i="1"/>
  <c r="I125" i="1"/>
  <c r="B125" i="1"/>
  <c r="K124" i="1"/>
  <c r="I124" i="1"/>
  <c r="B124" i="1"/>
  <c r="K123" i="1"/>
  <c r="I123" i="1"/>
  <c r="B123" i="1"/>
  <c r="K122" i="1"/>
  <c r="I122" i="1"/>
  <c r="AI56" i="1"/>
  <c r="AH7" i="1"/>
  <c r="K121" i="1"/>
  <c r="I121" i="1"/>
  <c r="K120" i="1"/>
  <c r="I120" i="1"/>
  <c r="I119" i="1"/>
  <c r="K118" i="1"/>
  <c r="I118" i="1"/>
  <c r="K117" i="1"/>
  <c r="I117" i="1"/>
  <c r="K115" i="1"/>
  <c r="K114" i="1"/>
  <c r="K113" i="1"/>
  <c r="A100" i="1"/>
  <c r="A150" i="1" s="1"/>
  <c r="A99" i="1"/>
  <c r="A149" i="1" s="1"/>
  <c r="A98" i="1"/>
  <c r="A148" i="1" s="1"/>
  <c r="A97" i="1"/>
  <c r="A147" i="1" s="1"/>
  <c r="A96" i="1"/>
  <c r="A146" i="1" s="1"/>
  <c r="A95" i="1"/>
  <c r="A145" i="1" s="1"/>
  <c r="A94" i="1"/>
  <c r="A144" i="1" s="1"/>
  <c r="A93" i="1"/>
  <c r="A143" i="1" s="1"/>
  <c r="A92" i="1"/>
  <c r="A142" i="1" s="1"/>
  <c r="A91" i="1"/>
  <c r="A141" i="1" s="1"/>
  <c r="A90" i="1"/>
  <c r="A140" i="1" s="1"/>
  <c r="A89" i="1"/>
  <c r="A139" i="1" s="1"/>
  <c r="A88" i="1"/>
  <c r="A138" i="1" s="1"/>
  <c r="A87" i="1"/>
  <c r="A137" i="1" s="1"/>
  <c r="A86" i="1"/>
  <c r="A136" i="1" s="1"/>
  <c r="A85" i="1"/>
  <c r="A135" i="1" s="1"/>
  <c r="A84" i="1"/>
  <c r="A134" i="1" s="1"/>
  <c r="A83" i="1"/>
  <c r="A133" i="1" s="1"/>
  <c r="A82" i="1"/>
  <c r="A132" i="1" s="1"/>
  <c r="A81" i="1"/>
  <c r="A131" i="1" s="1"/>
  <c r="A80" i="1"/>
  <c r="A130" i="1" s="1"/>
  <c r="A79" i="1"/>
  <c r="A129" i="1" s="1"/>
  <c r="A78" i="1"/>
  <c r="A128" i="1" s="1"/>
  <c r="A77" i="1"/>
  <c r="A127" i="1" s="1"/>
  <c r="A76" i="1"/>
  <c r="A126" i="1" s="1"/>
  <c r="A75" i="1"/>
  <c r="A125" i="1" s="1"/>
  <c r="A74" i="1"/>
  <c r="A124" i="1" s="1"/>
  <c r="A73" i="1"/>
  <c r="A123" i="1" s="1"/>
  <c r="A72" i="1"/>
  <c r="A122" i="1" s="1"/>
  <c r="A71" i="1"/>
  <c r="A121" i="1" s="1"/>
  <c r="A70" i="1"/>
  <c r="A120" i="1" s="1"/>
  <c r="A69" i="1"/>
  <c r="A119" i="1" s="1"/>
  <c r="A68" i="1"/>
  <c r="A118" i="1" s="1"/>
  <c r="A67" i="1"/>
  <c r="A117" i="1" s="1"/>
  <c r="A66" i="1"/>
  <c r="A116" i="1" s="1"/>
  <c r="A65" i="1"/>
  <c r="A115" i="1" s="1"/>
  <c r="A64" i="1"/>
  <c r="A114" i="1" s="1"/>
  <c r="A63" i="1"/>
  <c r="A113" i="1" s="1"/>
  <c r="A62" i="1"/>
  <c r="A112" i="1" s="1"/>
  <c r="A61" i="1"/>
  <c r="A111" i="1" s="1"/>
  <c r="A60" i="1"/>
  <c r="A110" i="1" s="1"/>
  <c r="A59" i="1"/>
  <c r="A109" i="1" s="1"/>
  <c r="A58" i="1"/>
  <c r="A108" i="1" s="1"/>
  <c r="A57" i="1"/>
  <c r="A107" i="1" s="1"/>
  <c r="A56" i="1"/>
  <c r="A106" i="1" s="1"/>
  <c r="N55" i="1"/>
  <c r="N105" i="1" s="1"/>
  <c r="M55" i="1"/>
  <c r="M105" i="1" s="1"/>
  <c r="L55" i="1"/>
  <c r="L105" i="1" s="1"/>
  <c r="K55" i="1"/>
  <c r="K105" i="1" s="1"/>
  <c r="J55" i="1"/>
  <c r="J105" i="1" s="1"/>
  <c r="I55" i="1"/>
  <c r="I105" i="1" s="1"/>
  <c r="G55" i="1"/>
  <c r="G105" i="1" s="1"/>
  <c r="F55" i="1"/>
  <c r="F105" i="1" s="1"/>
  <c r="E55" i="1"/>
  <c r="E105" i="1" s="1"/>
  <c r="D55" i="1"/>
  <c r="D105" i="1" s="1"/>
  <c r="C55" i="1"/>
  <c r="C105" i="1" s="1"/>
  <c r="B55" i="1"/>
  <c r="B105" i="1" s="1"/>
  <c r="N52" i="1"/>
  <c r="M52" i="1"/>
  <c r="L52" i="1"/>
  <c r="K52" i="1"/>
  <c r="J52" i="1"/>
  <c r="I52" i="1"/>
  <c r="G52" i="1"/>
  <c r="F52" i="1"/>
  <c r="E52" i="1"/>
  <c r="D52" i="1"/>
  <c r="C52" i="1"/>
  <c r="B52" i="1"/>
  <c r="N95" i="1"/>
  <c r="K51" i="1"/>
  <c r="K68" i="1" s="1"/>
  <c r="J51" i="1"/>
  <c r="I51" i="1"/>
  <c r="I71" i="1" s="1"/>
  <c r="E51" i="1"/>
  <c r="E89" i="1" s="1"/>
  <c r="D51" i="1"/>
  <c r="C51" i="1"/>
  <c r="C87" i="1" s="1"/>
  <c r="B93" i="1"/>
  <c r="AB3" i="1"/>
  <c r="AA3" i="1"/>
  <c r="Z3" i="1"/>
  <c r="Y3" i="1"/>
  <c r="X3" i="1"/>
  <c r="W3" i="1"/>
  <c r="U3" i="1"/>
  <c r="T3" i="1"/>
  <c r="S3" i="1"/>
  <c r="R3" i="1"/>
  <c r="Q3" i="1"/>
  <c r="P3" i="1"/>
  <c r="AI36" i="1" l="1"/>
  <c r="AI32" i="1"/>
  <c r="J80" i="1"/>
  <c r="J82" i="1"/>
  <c r="AI12" i="1"/>
  <c r="AI22" i="1"/>
  <c r="AI10" i="1"/>
  <c r="AI15" i="1"/>
  <c r="AI24" i="1"/>
  <c r="AI33" i="1"/>
  <c r="AI37" i="1"/>
  <c r="AI40" i="1"/>
  <c r="AI7" i="1"/>
  <c r="AI19" i="1"/>
  <c r="AI28" i="1"/>
  <c r="AI43" i="1"/>
  <c r="AI17" i="1"/>
  <c r="E88" i="1"/>
  <c r="E91" i="1"/>
  <c r="L92" i="1"/>
  <c r="E97" i="1"/>
  <c r="E100" i="1"/>
  <c r="AI8" i="1"/>
  <c r="AI9" i="1"/>
  <c r="AI11" i="1"/>
  <c r="K67" i="1"/>
  <c r="AI14" i="1"/>
  <c r="AI16" i="1"/>
  <c r="AI18" i="1"/>
  <c r="AI27" i="1"/>
  <c r="AI31" i="1"/>
  <c r="L88" i="1"/>
  <c r="E90" i="1"/>
  <c r="L91" i="1"/>
  <c r="E96" i="1"/>
  <c r="L97" i="1"/>
  <c r="AI44" i="1"/>
  <c r="AI21" i="1"/>
  <c r="AI23" i="1"/>
  <c r="AI25" i="1"/>
  <c r="E84" i="1"/>
  <c r="E87" i="1"/>
  <c r="AI34" i="1"/>
  <c r="L90" i="1"/>
  <c r="L94" i="1"/>
  <c r="E95" i="1"/>
  <c r="L96" i="1"/>
  <c r="AH62" i="1"/>
  <c r="K66" i="1"/>
  <c r="E86" i="1"/>
  <c r="E93" i="1"/>
  <c r="L95" i="1"/>
  <c r="E99" i="1"/>
  <c r="K63" i="1"/>
  <c r="L86" i="1"/>
  <c r="L89" i="1"/>
  <c r="L93" i="1"/>
  <c r="E92" i="1"/>
  <c r="E98" i="1"/>
  <c r="E85" i="1"/>
  <c r="E94" i="1"/>
  <c r="G100" i="1"/>
  <c r="G94" i="1"/>
  <c r="D98" i="1"/>
  <c r="D96" i="1"/>
  <c r="D84" i="1"/>
  <c r="D82" i="1"/>
  <c r="D80" i="1"/>
  <c r="K86" i="1"/>
  <c r="K83" i="1"/>
  <c r="K81" i="1"/>
  <c r="K79" i="1"/>
  <c r="K71" i="1"/>
  <c r="K65" i="1"/>
  <c r="I70" i="1"/>
  <c r="K72" i="1"/>
  <c r="I74" i="1"/>
  <c r="I76" i="1"/>
  <c r="C77" i="1"/>
  <c r="K80" i="1"/>
  <c r="B82" i="1"/>
  <c r="J83" i="1"/>
  <c r="B85" i="1"/>
  <c r="B89" i="1"/>
  <c r="K91" i="1"/>
  <c r="N92" i="1"/>
  <c r="N93" i="1"/>
  <c r="B96" i="1"/>
  <c r="I69" i="1"/>
  <c r="K70" i="1"/>
  <c r="K74" i="1"/>
  <c r="K75" i="1"/>
  <c r="K77" i="1"/>
  <c r="I78" i="1"/>
  <c r="C82" i="1"/>
  <c r="I84" i="1"/>
  <c r="J86" i="1"/>
  <c r="J88" i="1"/>
  <c r="J90" i="1"/>
  <c r="C96" i="1"/>
  <c r="B97" i="1"/>
  <c r="K64" i="1"/>
  <c r="I68" i="1"/>
  <c r="K69" i="1"/>
  <c r="K78" i="1"/>
  <c r="D79" i="1"/>
  <c r="B80" i="1"/>
  <c r="AI26" i="1"/>
  <c r="J81" i="1"/>
  <c r="I82" i="1"/>
  <c r="B83" i="1"/>
  <c r="AI29" i="1"/>
  <c r="J84" i="1"/>
  <c r="D85" i="1"/>
  <c r="K88" i="1"/>
  <c r="D89" i="1"/>
  <c r="K90" i="1"/>
  <c r="C91" i="1"/>
  <c r="G92" i="1"/>
  <c r="AI38" i="1"/>
  <c r="G93" i="1"/>
  <c r="J94" i="1"/>
  <c r="G95" i="1"/>
  <c r="AI41" i="1"/>
  <c r="AI42" i="1"/>
  <c r="C97" i="1"/>
  <c r="N97" i="1"/>
  <c r="B98" i="1"/>
  <c r="N98" i="1"/>
  <c r="C99" i="1"/>
  <c r="AI45" i="1"/>
  <c r="AI61" i="1"/>
  <c r="I67" i="1"/>
  <c r="I79" i="1"/>
  <c r="C80" i="1"/>
  <c r="C83" i="1"/>
  <c r="K84" i="1"/>
  <c r="C86" i="1"/>
  <c r="I87" i="1"/>
  <c r="B88" i="1"/>
  <c r="I89" i="1"/>
  <c r="B90" i="1"/>
  <c r="D91" i="1"/>
  <c r="I92" i="1"/>
  <c r="J93" i="1"/>
  <c r="B94" i="1"/>
  <c r="K94" i="1"/>
  <c r="I95" i="1"/>
  <c r="G96" i="1"/>
  <c r="D97" i="1"/>
  <c r="C98" i="1"/>
  <c r="D99" i="1"/>
  <c r="J79" i="1"/>
  <c r="I80" i="1"/>
  <c r="B81" i="1"/>
  <c r="K82" i="1"/>
  <c r="D83" i="1"/>
  <c r="J85" i="1"/>
  <c r="D86" i="1"/>
  <c r="J87" i="1"/>
  <c r="C88" i="1"/>
  <c r="J89" i="1"/>
  <c r="C90" i="1"/>
  <c r="K92" i="1"/>
  <c r="K93" i="1"/>
  <c r="C94" i="1"/>
  <c r="K95" i="1"/>
  <c r="J96" i="1"/>
  <c r="B100" i="1"/>
  <c r="B99" i="1"/>
  <c r="B95" i="1"/>
  <c r="B92" i="1"/>
  <c r="B86" i="1"/>
  <c r="B78" i="1"/>
  <c r="B73" i="1"/>
  <c r="B72" i="1"/>
  <c r="I73" i="1"/>
  <c r="B74" i="1"/>
  <c r="B75" i="1"/>
  <c r="B76" i="1"/>
  <c r="B77" i="1"/>
  <c r="C81" i="1"/>
  <c r="I83" i="1"/>
  <c r="C84" i="1"/>
  <c r="K85" i="1"/>
  <c r="K87" i="1"/>
  <c r="K89" i="1"/>
  <c r="D90" i="1"/>
  <c r="I91" i="1"/>
  <c r="C92" i="1"/>
  <c r="C93" i="1"/>
  <c r="D94" i="1"/>
  <c r="N94" i="1"/>
  <c r="C95" i="1"/>
  <c r="K96" i="1"/>
  <c r="G97" i="1"/>
  <c r="G98" i="1"/>
  <c r="G99" i="1"/>
  <c r="J97" i="1"/>
  <c r="J95" i="1"/>
  <c r="J92" i="1"/>
  <c r="J91" i="1"/>
  <c r="C78" i="1"/>
  <c r="B87" i="1"/>
  <c r="D92" i="1"/>
  <c r="D93" i="1"/>
  <c r="K97" i="1"/>
  <c r="J98" i="1"/>
  <c r="J99" i="1"/>
  <c r="C100" i="1"/>
  <c r="AI60" i="1"/>
  <c r="AI66" i="1"/>
  <c r="AI65" i="1"/>
  <c r="AI64" i="1"/>
  <c r="AI63" i="1"/>
  <c r="AI62" i="1"/>
  <c r="AI57" i="1"/>
  <c r="AI47" i="1"/>
  <c r="AI46" i="1"/>
  <c r="AI54" i="1"/>
  <c r="AI53" i="1"/>
  <c r="AI52" i="1"/>
  <c r="AI51" i="1"/>
  <c r="AI50" i="1"/>
  <c r="AI48" i="1"/>
  <c r="AI58" i="1"/>
  <c r="AI55" i="1"/>
  <c r="AI49" i="1"/>
  <c r="AI39" i="1"/>
  <c r="AI35" i="1"/>
  <c r="AI30" i="1"/>
  <c r="AI20" i="1"/>
  <c r="AI59" i="1"/>
  <c r="N99" i="1"/>
  <c r="N96" i="1"/>
  <c r="I93" i="1"/>
  <c r="I90" i="1"/>
  <c r="I85" i="1"/>
  <c r="I77" i="1"/>
  <c r="I72" i="1"/>
  <c r="K73" i="1"/>
  <c r="I75" i="1"/>
  <c r="B79" i="1"/>
  <c r="D81" i="1"/>
  <c r="I86" i="1"/>
  <c r="I88" i="1"/>
  <c r="D95" i="1"/>
  <c r="K76" i="1"/>
  <c r="C79" i="1"/>
  <c r="I81" i="1"/>
  <c r="C85" i="1"/>
  <c r="D87" i="1"/>
  <c r="C89" i="1"/>
  <c r="B91" i="1"/>
  <c r="I94" i="1"/>
  <c r="D100" i="1"/>
  <c r="AI67" i="1"/>
  <c r="L87" i="1"/>
  <c r="AH40" i="1"/>
  <c r="AH51" i="1"/>
  <c r="AH52" i="1" l="1"/>
  <c r="AH65" i="1"/>
  <c r="AH64" i="1"/>
  <c r="AH63" i="1"/>
  <c r="AH34" i="1"/>
  <c r="AH53" i="1"/>
  <c r="AH50" i="1"/>
  <c r="AH21" i="1"/>
  <c r="AH57" i="1"/>
  <c r="AH48" i="1"/>
  <c r="AH66" i="1"/>
  <c r="AH54" i="1"/>
  <c r="AH44" i="1"/>
  <c r="AH61" i="1"/>
  <c r="AH55" i="1"/>
  <c r="AH23" i="1"/>
  <c r="AH31" i="1"/>
  <c r="AH20" i="1"/>
  <c r="AH11" i="1"/>
  <c r="AH32" i="1"/>
  <c r="AH59" i="1"/>
  <c r="AH39" i="1"/>
  <c r="AH49" i="1"/>
  <c r="AH45" i="1"/>
  <c r="AH41" i="1"/>
  <c r="AH26" i="1"/>
  <c r="AH24" i="1"/>
  <c r="AH22" i="1"/>
  <c r="AH12" i="1"/>
  <c r="AH58" i="1"/>
  <c r="AH47" i="1"/>
  <c r="AH42" i="1"/>
  <c r="AH36" i="1"/>
  <c r="AH33" i="1"/>
  <c r="AH30" i="1"/>
  <c r="AH28" i="1"/>
  <c r="AH19" i="1"/>
  <c r="AH17" i="1"/>
  <c r="AH15" i="1"/>
  <c r="AH10" i="1"/>
  <c r="AH60" i="1"/>
  <c r="AH56" i="1"/>
  <c r="AH43" i="1"/>
  <c r="AH37" i="1"/>
  <c r="AH46" i="1"/>
  <c r="AH38" i="1"/>
  <c r="AH25" i="1"/>
  <c r="AH29" i="1"/>
  <c r="AH27" i="1"/>
  <c r="AH18" i="1"/>
  <c r="AH16" i="1"/>
  <c r="AH14" i="1"/>
  <c r="AH9" i="1"/>
  <c r="AH8" i="1"/>
  <c r="AH35" i="1"/>
  <c r="C27" i="3" l="1"/>
</calcChain>
</file>

<file path=xl/comments1.xml><?xml version="1.0" encoding="utf-8"?>
<comments xmlns="http://schemas.openxmlformats.org/spreadsheetml/2006/main">
  <authors>
    <author>enric cortes</author>
  </authors>
  <commentList>
    <comment ref="R7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Alternative catch series from EU project to be used as sensitivity</t>
        </r>
      </text>
    </comment>
    <comment ref="AJ8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Alternative catch series from EU project to be used as sensitivity</t>
        </r>
      </text>
    </comment>
  </commentList>
</comments>
</file>

<file path=xl/comments2.xml><?xml version="1.0" encoding="utf-8"?>
<comments xmlns="http://schemas.openxmlformats.org/spreadsheetml/2006/main">
  <authors>
    <author>enric cortes</author>
    <author>Enric Cortes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For sensitivity analysis</t>
        </r>
      </text>
    </comment>
    <comment ref="F4" authorId="1">
      <text>
        <r>
          <rPr>
            <sz val="8"/>
            <color indexed="81"/>
            <rFont val="Tahoma"/>
            <family val="2"/>
          </rPr>
          <t>Values from 2012 shortfin mako asssessment</t>
        </r>
      </text>
    </comment>
    <comment ref="M4" authorId="1">
      <text>
        <r>
          <rPr>
            <sz val="8"/>
            <color indexed="81"/>
            <rFont val="Tahoma"/>
            <family val="2"/>
          </rPr>
          <t>Values from 2012 shortfin mako asssessment</t>
        </r>
      </text>
    </comment>
    <comment ref="AF13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From effdis_ll.1950.2014.xlsx
sent by Paul in 2016. Estimated number of hooks for the NA.</t>
        </r>
      </text>
    </comment>
    <comment ref="AG13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From effdis_ll.1950.2014.xlsx
sent by Paul in 2016. Estimated number of hooks for the SA.</t>
        </r>
      </text>
    </comment>
  </commentList>
</comments>
</file>

<file path=xl/comments3.xml><?xml version="1.0" encoding="utf-8"?>
<comments xmlns="http://schemas.openxmlformats.org/spreadsheetml/2006/main">
  <authors>
    <author>enric cortes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Values used in CFASPM</t>
        </r>
      </text>
    </comment>
    <comment ref="C3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Using Natanson et al. VBGF curve</t>
        </r>
      </text>
    </comment>
    <comment ref="D3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Using Natanson et al. VBGF curve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Using Natanson et al. Gompertz curve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Using Coelho et al. VBGF curve</t>
        </r>
      </text>
    </comment>
    <comment ref="G3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Using Coelho et al. VBGF curve</t>
        </r>
      </text>
    </comment>
    <comment ref="V10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First year survival probability</t>
        </r>
      </text>
    </comment>
    <comment ref="X10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Net reproductive rate (virgin spawners per recruit)</t>
        </r>
      </text>
    </comment>
    <comment ref="Y10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Maximum lifetime reproductive rate</t>
        </r>
      </text>
    </comment>
    <comment ref="Z10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Steepness</t>
        </r>
      </text>
    </comment>
    <comment ref="U23" authorId="0">
      <text>
        <r>
          <rPr>
            <b/>
            <sz val="9"/>
            <color indexed="81"/>
            <rFont val="Tahoma"/>
            <family val="2"/>
          </rPr>
          <t>enric cortes:</t>
        </r>
        <r>
          <rPr>
            <sz val="9"/>
            <color indexed="81"/>
            <rFont val="Tahoma"/>
            <family val="2"/>
          </rPr>
          <t xml:space="preserve">
This method takes the minimum age-specific M (maximum survivorship) of 6 lfe history invariant methods:
New Hoenig, New Pauly, Chen and Watanabe, Peterson and Wroblewski, Jensen's K, and Lorenzen</t>
        </r>
      </text>
    </comment>
  </commentList>
</comments>
</file>

<file path=xl/sharedStrings.xml><?xml version="1.0" encoding="utf-8"?>
<sst xmlns="http://schemas.openxmlformats.org/spreadsheetml/2006/main" count="545" uniqueCount="226">
  <si>
    <t>INDICES</t>
  </si>
  <si>
    <t>N</t>
  </si>
  <si>
    <t>S</t>
  </si>
  <si>
    <t>CVs</t>
  </si>
  <si>
    <t>US-Log</t>
  </si>
  <si>
    <t>US-Obs</t>
  </si>
  <si>
    <t>JPLL-N</t>
  </si>
  <si>
    <t>POR-LL-N</t>
  </si>
  <si>
    <t>ESP-LL-N</t>
  </si>
  <si>
    <t>CH-TA-LLN</t>
  </si>
  <si>
    <t>JPLL-S</t>
  </si>
  <si>
    <t>BR-LL</t>
  </si>
  <si>
    <t>ESP-LL-S</t>
  </si>
  <si>
    <t>CH-TA-LLS</t>
  </si>
  <si>
    <t>EFFORT</t>
  </si>
  <si>
    <t>CATCHES</t>
  </si>
  <si>
    <t>absolute (hooks)</t>
  </si>
  <si>
    <t>relative to max</t>
  </si>
  <si>
    <t>NA</t>
  </si>
  <si>
    <t>SA</t>
  </si>
  <si>
    <t>FOR PLOTTING</t>
  </si>
  <si>
    <t>max</t>
  </si>
  <si>
    <t>U.S.A.</t>
  </si>
  <si>
    <t>Venezuela</t>
  </si>
  <si>
    <t>Canada</t>
  </si>
  <si>
    <t>Gear</t>
  </si>
  <si>
    <t>LL</t>
  </si>
  <si>
    <t>RR</t>
  </si>
  <si>
    <t>Yellow = not Task I</t>
  </si>
  <si>
    <t>Ratio estimate</t>
  </si>
  <si>
    <t>SCRS/2017/071</t>
  </si>
  <si>
    <t>Flag</t>
  </si>
  <si>
    <t>EU.España</t>
  </si>
  <si>
    <t>EU.Portugal</t>
  </si>
  <si>
    <t>Japan</t>
  </si>
  <si>
    <t>Maroc</t>
  </si>
  <si>
    <t>Chinese Taipei</t>
  </si>
  <si>
    <t>Belize</t>
  </si>
  <si>
    <t>China PR</t>
  </si>
  <si>
    <t>Senegal</t>
  </si>
  <si>
    <t>Brazil</t>
  </si>
  <si>
    <t>SP</t>
  </si>
  <si>
    <t>PS</t>
  </si>
  <si>
    <t>GN</t>
  </si>
  <si>
    <t>UN</t>
  </si>
  <si>
    <t/>
  </si>
  <si>
    <t>Grand Total</t>
  </si>
  <si>
    <t>Rest</t>
  </si>
  <si>
    <t>All</t>
  </si>
  <si>
    <t>NORTH ATLANTIC</t>
  </si>
  <si>
    <t>Total</t>
  </si>
  <si>
    <t>Namibia</t>
  </si>
  <si>
    <t>South Africa</t>
  </si>
  <si>
    <t>Uruguay</t>
  </si>
  <si>
    <t>Côte d'Ivoire</t>
  </si>
  <si>
    <t>SOUTH ATLANTIC</t>
  </si>
  <si>
    <t>UR-LL-Log</t>
  </si>
  <si>
    <t>UR-LL-Obs</t>
  </si>
  <si>
    <t>numbers</t>
  </si>
  <si>
    <t>weight</t>
  </si>
  <si>
    <t>References</t>
  </si>
  <si>
    <t>Reproduction</t>
  </si>
  <si>
    <r>
      <t>L</t>
    </r>
    <r>
      <rPr>
        <vertAlign val="subscript"/>
        <sz val="11"/>
        <color theme="1"/>
        <rFont val="Calibri"/>
        <family val="2"/>
        <scheme val="minor"/>
      </rPr>
      <t>mat</t>
    </r>
    <r>
      <rPr>
        <sz val="10"/>
        <rFont val="Arial"/>
        <family val="2"/>
      </rPr>
      <t xml:space="preserve"> (♂)</t>
    </r>
  </si>
  <si>
    <t>Mas et al. (2017) [SCRS]</t>
  </si>
  <si>
    <r>
      <t>L</t>
    </r>
    <r>
      <rPr>
        <vertAlign val="subscript"/>
        <sz val="11"/>
        <color theme="1"/>
        <rFont val="Calibri"/>
        <family val="2"/>
        <scheme val="minor"/>
      </rPr>
      <t>50</t>
    </r>
    <r>
      <rPr>
        <sz val="10"/>
        <rFont val="Arial"/>
        <family val="2"/>
      </rPr>
      <t xml:space="preserve"> (♂)</t>
    </r>
  </si>
  <si>
    <t>180-185 FL</t>
  </si>
  <si>
    <t>Natanson et al. (2006) Maia et al. (2006) Mas et al. (2017) [SCRS]</t>
  </si>
  <si>
    <r>
      <t>T</t>
    </r>
    <r>
      <rPr>
        <vertAlign val="subscript"/>
        <sz val="11"/>
        <color theme="1"/>
        <rFont val="Calibri"/>
        <family val="2"/>
        <scheme val="minor"/>
      </rPr>
      <t>mat</t>
    </r>
    <r>
      <rPr>
        <sz val="10"/>
        <rFont val="Arial"/>
        <family val="2"/>
      </rPr>
      <t xml:space="preserve"> (♂)</t>
    </r>
  </si>
  <si>
    <r>
      <t>T</t>
    </r>
    <r>
      <rPr>
        <vertAlign val="subscript"/>
        <sz val="11"/>
        <color theme="1"/>
        <rFont val="Calibri"/>
        <family val="2"/>
        <scheme val="minor"/>
      </rPr>
      <t>50</t>
    </r>
    <r>
      <rPr>
        <sz val="10"/>
        <rFont val="Arial"/>
        <family val="2"/>
      </rPr>
      <t xml:space="preserve"> (♂)</t>
    </r>
  </si>
  <si>
    <t>Natanson et al. (2006)</t>
  </si>
  <si>
    <r>
      <t>L</t>
    </r>
    <r>
      <rPr>
        <vertAlign val="subscript"/>
        <sz val="11"/>
        <color theme="1"/>
        <rFont val="Calibri"/>
        <family val="2"/>
        <scheme val="minor"/>
      </rPr>
      <t>mat</t>
    </r>
    <r>
      <rPr>
        <sz val="10"/>
        <rFont val="Arial"/>
        <family val="2"/>
      </rPr>
      <t xml:space="preserve"> (♀)</t>
    </r>
  </si>
  <si>
    <r>
      <t>L</t>
    </r>
    <r>
      <rPr>
        <vertAlign val="subscript"/>
        <sz val="11"/>
        <color theme="1"/>
        <rFont val="Calibri"/>
        <family val="2"/>
        <scheme val="minor"/>
      </rPr>
      <t>50</t>
    </r>
    <r>
      <rPr>
        <sz val="10"/>
        <rFont val="Arial"/>
        <family val="2"/>
      </rPr>
      <t xml:space="preserve"> (♀)</t>
    </r>
  </si>
  <si>
    <t>275-298 FL</t>
  </si>
  <si>
    <t>Mollet et al. (2000), Natanson et al. (2006)</t>
  </si>
  <si>
    <r>
      <t>T</t>
    </r>
    <r>
      <rPr>
        <vertAlign val="subscript"/>
        <sz val="11"/>
        <color theme="1"/>
        <rFont val="Calibri"/>
        <family val="2"/>
        <scheme val="minor"/>
      </rPr>
      <t>mat</t>
    </r>
    <r>
      <rPr>
        <sz val="10"/>
        <rFont val="Arial"/>
        <family val="2"/>
      </rPr>
      <t xml:space="preserve"> (♀)</t>
    </r>
  </si>
  <si>
    <r>
      <t>T</t>
    </r>
    <r>
      <rPr>
        <vertAlign val="subscript"/>
        <sz val="11"/>
        <color theme="1"/>
        <rFont val="Calibri"/>
        <family val="2"/>
        <scheme val="minor"/>
      </rPr>
      <t>50</t>
    </r>
    <r>
      <rPr>
        <sz val="10"/>
        <rFont val="Arial"/>
        <family val="2"/>
      </rPr>
      <t xml:space="preserve"> (♀)</t>
    </r>
  </si>
  <si>
    <t>Sex ratio</t>
  </si>
  <si>
    <t>1:1</t>
  </si>
  <si>
    <t>Mollet et al. (2000)</t>
  </si>
  <si>
    <t>Cycle</t>
  </si>
  <si>
    <t>GP (months)</t>
  </si>
  <si>
    <t>16.5 (15-18)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</si>
  <si>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</si>
  <si>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70 FL-63 FL</t>
  </si>
  <si>
    <t>81M-88F (FL)*</t>
  </si>
  <si>
    <t>Natanson et al. (2006) Mollet et al. (2000) Doño et al. (2015)</t>
  </si>
  <si>
    <t>Mean litter size (LS)</t>
  </si>
  <si>
    <t>Mollet et al. 2000 (n=24)</t>
  </si>
  <si>
    <t>Min LS</t>
  </si>
  <si>
    <t>Max LS</t>
  </si>
  <si>
    <t>LS vs MS relation</t>
  </si>
  <si>
    <t>LS=0.81*TL^2.346</t>
  </si>
  <si>
    <t>Maturity ogive (♀)</t>
  </si>
  <si>
    <t>Use fit to clasper index (♂)</t>
  </si>
  <si>
    <t>Mollet et al. 2000 (n=24); SCRS/2017/058</t>
  </si>
  <si>
    <t>Age &amp; Growth</t>
  </si>
  <si>
    <r>
      <t>L</t>
    </r>
    <r>
      <rPr>
        <vertAlign val="subscript"/>
        <sz val="11"/>
        <color theme="1"/>
        <rFont val="Calibri"/>
        <family val="2"/>
        <scheme val="minor"/>
      </rPr>
      <t xml:space="preserve">inf </t>
    </r>
    <r>
      <rPr>
        <sz val="10"/>
        <rFont val="Arial"/>
        <family val="2"/>
      </rPr>
      <t>(♀)</t>
    </r>
  </si>
  <si>
    <t>Natanson et al. (2006) Doño et al. (2015) Barreto et al. (2016)</t>
  </si>
  <si>
    <t>k (♀)</t>
  </si>
  <si>
    <t>Natanson et al. (2006)  Barreto et al. (2016)</t>
  </si>
  <si>
    <r>
      <t>T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0"/>
        <rFont val="Arial"/>
        <family val="2"/>
      </rPr>
      <t xml:space="preserve"> / L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0"/>
        <rFont val="Arial"/>
        <family val="2"/>
      </rPr>
      <t xml:space="preserve"> (♀)</t>
    </r>
  </si>
  <si>
    <r>
      <t>T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0"/>
        <rFont val="Arial"/>
        <family val="2"/>
      </rPr>
      <t xml:space="preserve"> (♀)</t>
    </r>
  </si>
  <si>
    <t>23-28*</t>
  </si>
  <si>
    <t>Natanson et al. (2006)  Barreto et al. (2016) Doño et al. (2015)</t>
  </si>
  <si>
    <r>
      <t>L</t>
    </r>
    <r>
      <rPr>
        <vertAlign val="subscript"/>
        <sz val="11"/>
        <color theme="1"/>
        <rFont val="Calibri"/>
        <family val="2"/>
        <scheme val="minor"/>
      </rPr>
      <t>inf</t>
    </r>
    <r>
      <rPr>
        <sz val="10"/>
        <rFont val="Arial"/>
        <family val="2"/>
      </rPr>
      <t xml:space="preserve"> (♂)</t>
    </r>
  </si>
  <si>
    <t>253 ***</t>
  </si>
  <si>
    <t>261*; 329</t>
  </si>
  <si>
    <t>k (♂)</t>
  </si>
  <si>
    <t>Natanson et al. (2006) Barreto et al. (2016)</t>
  </si>
  <si>
    <r>
      <t>T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0"/>
        <rFont val="Arial"/>
        <family val="2"/>
      </rPr>
      <t xml:space="preserve"> / L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0"/>
        <rFont val="Arial"/>
        <family val="2"/>
      </rPr>
      <t xml:space="preserve"> (♂)</t>
    </r>
  </si>
  <si>
    <r>
      <t>T</t>
    </r>
    <r>
      <rPr>
        <vertAlign val="subscript"/>
        <sz val="11"/>
        <color theme="1"/>
        <rFont val="Calibri"/>
        <family val="2"/>
        <scheme val="minor"/>
      </rPr>
      <t xml:space="preserve">max </t>
    </r>
    <r>
      <rPr>
        <sz val="10"/>
        <rFont val="Arial"/>
        <family val="2"/>
      </rPr>
      <t>(♂)</t>
    </r>
  </si>
  <si>
    <t>Conversion Factors</t>
  </si>
  <si>
    <t>Length-length [cm]</t>
  </si>
  <si>
    <t>FL=0.9286TL-1.7101</t>
  </si>
  <si>
    <t>TL=1.127FL+0.358</t>
  </si>
  <si>
    <t>Megalofonou et al. (2005) Kohler (1995)</t>
  </si>
  <si>
    <t>Length-weight (b) [cm,kg]</t>
  </si>
  <si>
    <t>W=5.2432E-06FL^3.1407</t>
  </si>
  <si>
    <t>W=3.1142E-05FL^2.7243</t>
  </si>
  <si>
    <t>Kohler (1995) García-Cortes &amp; Mejuto (2002)</t>
  </si>
  <si>
    <r>
      <t>HG=7.5443x10</t>
    </r>
    <r>
      <rPr>
        <vertAlign val="superscript"/>
        <sz val="9"/>
        <color theme="1"/>
        <rFont val="Calibri"/>
        <family val="2"/>
        <scheme val="minor"/>
      </rPr>
      <t>-6</t>
    </r>
    <r>
      <rPr>
        <sz val="9"/>
        <color theme="1"/>
        <rFont val="Calibri"/>
        <family val="2"/>
        <scheme val="minor"/>
      </rPr>
      <t xml:space="preserve">x (FL </t>
    </r>
    <r>
      <rPr>
        <vertAlign val="superscript"/>
        <sz val="9"/>
        <color theme="1"/>
        <rFont val="Calibri"/>
        <family val="2"/>
        <scheme val="minor"/>
      </rPr>
      <t>2,9568</t>
    </r>
    <r>
      <rPr>
        <sz val="9"/>
        <color theme="1"/>
        <rFont val="Calibri"/>
        <family val="2"/>
        <scheme val="minor"/>
      </rPr>
      <t>)****</t>
    </r>
  </si>
  <si>
    <t>Divided by the respective mean</t>
  </si>
  <si>
    <t>Divided by the mean of the overlapping years among series</t>
  </si>
  <si>
    <t>Alt catches</t>
  </si>
  <si>
    <t>366 (393) [350.6]**</t>
  </si>
  <si>
    <t>0.087 (0.054) [0.064]**</t>
  </si>
  <si>
    <t>88.4 (70 fixed) [63] **</t>
  </si>
  <si>
    <t>* Derived with the Schnute model; ** Gompertz (VBGF in parentheses) [Coelho et al. VBGF in brackets]; *** VBGF with Lo; **** HG is eviscerated weight</t>
  </si>
  <si>
    <t>Deterministic results</t>
  </si>
  <si>
    <t>Growth</t>
  </si>
  <si>
    <t>M- method</t>
  </si>
  <si>
    <t>curve</t>
  </si>
  <si>
    <t>fecundity</t>
  </si>
  <si>
    <t>r</t>
  </si>
  <si>
    <t>z</t>
  </si>
  <si>
    <t>VBGF Nat</t>
  </si>
  <si>
    <t>length-based</t>
  </si>
  <si>
    <t>constant</t>
  </si>
  <si>
    <t>Gompertz Nat</t>
  </si>
  <si>
    <t>Coelho</t>
  </si>
  <si>
    <t>Mat=1/(1+exp-(-27.81+9.332*MS))</t>
  </si>
  <si>
    <t>UPDATED TABLE 9 FROM DATA WORKSHOP REPORT</t>
  </si>
  <si>
    <t>FEMALES</t>
  </si>
  <si>
    <t>MALES</t>
  </si>
  <si>
    <t>Proportion</t>
  </si>
  <si>
    <t>Fecundity</t>
  </si>
  <si>
    <t>Length</t>
  </si>
  <si>
    <t>Age</t>
  </si>
  <si>
    <t>mature</t>
  </si>
  <si>
    <t>(length)</t>
  </si>
  <si>
    <t>Sex ratio:</t>
  </si>
  <si>
    <t>Reproductive frequency:</t>
  </si>
  <si>
    <t>Pupping month:</t>
  </si>
  <si>
    <t>Gestation period:</t>
  </si>
  <si>
    <r>
      <t>L</t>
    </r>
    <r>
      <rPr>
        <vertAlign val="subscript"/>
        <sz val="9"/>
        <rFont val="Arial"/>
        <family val="2"/>
      </rPr>
      <t>inf</t>
    </r>
  </si>
  <si>
    <t>cm FL</t>
  </si>
  <si>
    <t>k</t>
  </si>
  <si>
    <t>Weight vs length relation:</t>
  </si>
  <si>
    <t>Fecundity:</t>
  </si>
  <si>
    <t>a</t>
  </si>
  <si>
    <t>b</t>
  </si>
  <si>
    <t>Maturity:</t>
  </si>
  <si>
    <t>18 mo</t>
  </si>
  <si>
    <t>Length vs litter size relation:</t>
  </si>
  <si>
    <t xml:space="preserve">pups = 0.81*TL^2.346 </t>
  </si>
  <si>
    <t>Natanson VBGF</t>
  </si>
  <si>
    <r>
      <t>W=5.2432E-06FL^</t>
    </r>
    <r>
      <rPr>
        <vertAlign val="superscript"/>
        <sz val="9"/>
        <rFont val="Arial"/>
        <family val="2"/>
      </rPr>
      <t>3.1407</t>
    </r>
  </si>
  <si>
    <t>TL vs. FL relation:</t>
  </si>
  <si>
    <t>Age and growth:</t>
  </si>
  <si>
    <t>Natanson Gompertz</t>
  </si>
  <si>
    <t>Coelho VBGF</t>
  </si>
  <si>
    <t>TL (cm)</t>
  </si>
  <si>
    <t>L50 (cm TL)</t>
  </si>
  <si>
    <t>2=Gompertz Natanson</t>
  </si>
  <si>
    <t>3=VBGF 2-parm Coelho</t>
  </si>
  <si>
    <r>
      <rPr>
        <sz val="9"/>
        <rFont val="Arial"/>
        <family val="2"/>
      </rPr>
      <t>L</t>
    </r>
    <r>
      <rPr>
        <vertAlign val="subscript"/>
        <sz val="9"/>
        <rFont val="Arial"/>
        <family val="2"/>
      </rPr>
      <t>0</t>
    </r>
  </si>
  <si>
    <t>1=VBGF 2-parm Natanson</t>
  </si>
  <si>
    <t>TL to FL:</t>
  </si>
  <si>
    <t>yr</t>
  </si>
  <si>
    <t>Weight</t>
  </si>
  <si>
    <t>(kg)</t>
  </si>
  <si>
    <t>Weight to FL:</t>
  </si>
  <si>
    <t>1=VBGF 3-parm Natanson</t>
  </si>
  <si>
    <t>2=VBGF 2-parm Coelho</t>
  </si>
  <si>
    <t>n/a</t>
  </si>
  <si>
    <t>UCL</t>
  </si>
  <si>
    <t>LCL</t>
  </si>
  <si>
    <t>sd</t>
  </si>
  <si>
    <t>median</t>
  </si>
  <si>
    <t>mean</t>
  </si>
  <si>
    <t>R0</t>
  </si>
  <si>
    <t>r_max</t>
  </si>
  <si>
    <t>S0</t>
  </si>
  <si>
    <t>Fec ~ LN(mean=Fec_a, SD=0.10*mean)</t>
  </si>
  <si>
    <t>Results of Monte Carlo simulation of  Leslie matrix (n=10,000)</t>
  </si>
  <si>
    <t>S ~ LN(mean=S_a, SD=0.10*mean)</t>
  </si>
  <si>
    <t>Pdfs:</t>
  </si>
  <si>
    <t>2012 M</t>
  </si>
  <si>
    <t>Figure .  Comparison of natural mortality values used in shortfin mako stock assessments</t>
  </si>
  <si>
    <t>Max age ~ U(29,35)</t>
  </si>
  <si>
    <t>Females_M1</t>
  </si>
  <si>
    <t>Males_M1</t>
  </si>
  <si>
    <t>Females_M2</t>
  </si>
  <si>
    <t>Females_M3</t>
  </si>
  <si>
    <t>Males_M3</t>
  </si>
  <si>
    <t>11-18*</t>
  </si>
  <si>
    <t>244*; 408</t>
  </si>
  <si>
    <t>12-18*</t>
  </si>
  <si>
    <t>Campana et al. (2005)  Barreto et al. (2016) Doño et al. (2015)</t>
  </si>
  <si>
    <t>6-8*</t>
  </si>
  <si>
    <t>maturity</t>
  </si>
  <si>
    <t>VBGF Barreto</t>
  </si>
  <si>
    <t>ogive</t>
  </si>
  <si>
    <t>knife-edge</t>
  </si>
  <si>
    <t>VBGF Dono</t>
  </si>
  <si>
    <t>ALTERNATIVE CATCH SERIES BASED ON EU PROJECT</t>
  </si>
  <si>
    <r>
      <t>W=3.1142E-05FL^2</t>
    </r>
    <r>
      <rPr>
        <vertAlign val="superscript"/>
        <sz val="9"/>
        <rFont val="Arial"/>
        <family val="2"/>
      </rPr>
      <t>.7243</t>
    </r>
  </si>
  <si>
    <t>1=VBGF 3-parm Barreto et al.</t>
  </si>
  <si>
    <t>2=VBGF 3-parm Dono et al.</t>
  </si>
  <si>
    <t>Barreto VBGF</t>
  </si>
  <si>
    <t>Dono VBGF</t>
  </si>
  <si>
    <r>
      <rPr>
        <sz val="9"/>
        <rFont val="Arial"/>
        <family val="2"/>
      </rPr>
      <t>t</t>
    </r>
    <r>
      <rPr>
        <vertAlign val="subscript"/>
        <sz val="9"/>
        <rFont val="Arial"/>
        <family val="2"/>
      </rPr>
      <t>0</t>
    </r>
  </si>
  <si>
    <t>switch for Spain</t>
  </si>
  <si>
    <t>1=numbers</t>
  </si>
  <si>
    <t>2=weight</t>
  </si>
  <si>
    <t>Values for Spain CPUE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</si>
</sst>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00"/>
    <numFmt numFmtId="165" formatCode="0.0"/>
    <numFmt numFmtId="166" formatCode="0.0000"/>
    <numFmt numFmtId="167" formatCode="0.00000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48"/>
      <name val="Arial"/>
      <family val="2"/>
    </font>
    <font>
      <sz val="10"/>
      <color theme="1"/>
      <name val="Arial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14"/>
      <name val="Arial"/>
      <family val="2"/>
    </font>
    <font>
      <sz val="8"/>
      <color indexed="81"/>
      <name val="Tahoma"/>
      <family val="2"/>
    </font>
    <font>
      <sz val="14"/>
      <color theme="1"/>
      <name val="Calibri"/>
      <family val="2"/>
      <scheme val="minor"/>
    </font>
    <font>
      <sz val="10"/>
      <color theme="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bscript"/>
      <sz val="11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vertAlign val="subscript"/>
      <sz val="9"/>
      <name val="Arial"/>
      <family val="2"/>
    </font>
    <font>
      <sz val="10"/>
      <color rgb="FF00B050"/>
      <name val="Arial"/>
      <family val="2"/>
    </font>
    <font>
      <vertAlign val="superscript"/>
      <sz val="9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color rgb="FF0070C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999999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999999"/>
      </top>
      <bottom style="thin">
        <color auto="1"/>
      </bottom>
      <diagonal/>
    </border>
    <border>
      <left/>
      <right/>
      <top style="thin">
        <color indexed="65"/>
      </top>
      <bottom style="thin">
        <color auto="1"/>
      </bottom>
      <diagonal/>
    </border>
    <border>
      <left style="thin">
        <color rgb="FF999999"/>
      </left>
      <right/>
      <top style="thin">
        <color indexed="65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4" fillId="0" borderId="0"/>
    <xf numFmtId="0" fontId="4" fillId="0" borderId="0"/>
    <xf numFmtId="0" fontId="2" fillId="0" borderId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19">
    <xf numFmtId="0" fontId="0" fillId="0" borderId="0" xfId="0"/>
    <xf numFmtId="0" fontId="4" fillId="0" borderId="0" xfId="1"/>
    <xf numFmtId="0" fontId="5" fillId="2" borderId="0" xfId="1" applyFont="1" applyFill="1"/>
    <xf numFmtId="0" fontId="6" fillId="0" borderId="0" xfId="1" applyFont="1" applyAlignment="1">
      <alignment horizontal="center"/>
    </xf>
    <xf numFmtId="0" fontId="5" fillId="0" borderId="0" xfId="1" applyFont="1"/>
    <xf numFmtId="0" fontId="4" fillId="0" borderId="0" xfId="1" applyFill="1"/>
    <xf numFmtId="0" fontId="5" fillId="0" borderId="0" xfId="1" applyFont="1" applyAlignment="1">
      <alignment horizontal="center"/>
    </xf>
    <xf numFmtId="0" fontId="4" fillId="0" borderId="0" xfId="1" applyAlignment="1">
      <alignment horizontal="center"/>
    </xf>
    <xf numFmtId="0" fontId="4" fillId="3" borderId="0" xfId="1" applyFill="1"/>
    <xf numFmtId="0" fontId="5" fillId="3" borderId="0" xfId="1" applyFont="1" applyFill="1"/>
    <xf numFmtId="0" fontId="5" fillId="0" borderId="0" xfId="1" applyFont="1" applyFill="1"/>
    <xf numFmtId="0" fontId="5" fillId="4" borderId="0" xfId="1" applyFont="1" applyFill="1"/>
    <xf numFmtId="165" fontId="4" fillId="3" borderId="0" xfId="1" applyNumberFormat="1" applyFill="1"/>
    <xf numFmtId="164" fontId="7" fillId="3" borderId="0" xfId="1" applyNumberFormat="1" applyFont="1" applyFill="1" applyAlignment="1">
      <alignment horizontal="center"/>
    </xf>
    <xf numFmtId="164" fontId="4" fillId="0" borderId="0" xfId="1" applyNumberFormat="1" applyAlignment="1">
      <alignment horizontal="center"/>
    </xf>
    <xf numFmtId="0" fontId="4" fillId="4" borderId="0" xfId="1" applyFill="1"/>
    <xf numFmtId="164" fontId="8" fillId="4" borderId="0" xfId="1" applyNumberFormat="1" applyFont="1" applyFill="1" applyAlignment="1">
      <alignment horizontal="center"/>
    </xf>
    <xf numFmtId="164" fontId="4" fillId="4" borderId="0" xfId="1" applyNumberFormat="1" applyFill="1" applyAlignment="1">
      <alignment horizontal="center"/>
    </xf>
    <xf numFmtId="2" fontId="4" fillId="3" borderId="0" xfId="1" applyNumberFormat="1" applyFill="1" applyAlignment="1">
      <alignment horizontal="center"/>
    </xf>
    <xf numFmtId="164" fontId="4" fillId="3" borderId="0" xfId="1" applyNumberFormat="1" applyFill="1"/>
    <xf numFmtId="2" fontId="8" fillId="3" borderId="0" xfId="1" applyNumberFormat="1" applyFont="1" applyFill="1" applyAlignment="1">
      <alignment horizontal="center"/>
    </xf>
    <xf numFmtId="2" fontId="8" fillId="0" borderId="0" xfId="1" applyNumberFormat="1" applyFont="1" applyFill="1" applyAlignment="1">
      <alignment horizontal="center"/>
    </xf>
    <xf numFmtId="164" fontId="4" fillId="3" borderId="0" xfId="1" applyNumberFormat="1" applyFill="1" applyAlignment="1" applyProtection="1">
      <alignment horizontal="center"/>
      <protection locked="0"/>
    </xf>
    <xf numFmtId="164" fontId="7" fillId="3" borderId="0" xfId="1" applyNumberFormat="1" applyFont="1" applyFill="1" applyAlignment="1" applyProtection="1">
      <alignment horizontal="center"/>
      <protection locked="0"/>
    </xf>
    <xf numFmtId="164" fontId="4" fillId="3" borderId="0" xfId="1" applyNumberFormat="1" applyFill="1" applyAlignment="1">
      <alignment horizontal="center"/>
    </xf>
    <xf numFmtId="0" fontId="4" fillId="4" borderId="0" xfId="1" applyFill="1" applyAlignment="1">
      <alignment horizontal="center"/>
    </xf>
    <xf numFmtId="0" fontId="8" fillId="4" borderId="0" xfId="1" applyFont="1" applyFill="1" applyAlignment="1">
      <alignment horizontal="center"/>
    </xf>
    <xf numFmtId="164" fontId="8" fillId="3" borderId="0" xfId="1" applyNumberFormat="1" applyFont="1" applyFill="1" applyAlignment="1">
      <alignment horizontal="center"/>
    </xf>
    <xf numFmtId="2" fontId="7" fillId="3" borderId="0" xfId="1" applyNumberFormat="1" applyFont="1" applyFill="1" applyAlignment="1">
      <alignment horizontal="center"/>
    </xf>
    <xf numFmtId="164" fontId="7" fillId="4" borderId="0" xfId="1" applyNumberFormat="1" applyFont="1" applyFill="1" applyAlignment="1">
      <alignment horizontal="center"/>
    </xf>
    <xf numFmtId="165" fontId="4" fillId="0" borderId="1" xfId="1" applyNumberFormat="1" applyBorder="1" applyAlignment="1">
      <alignment horizontal="center"/>
    </xf>
    <xf numFmtId="164" fontId="4" fillId="0" borderId="1" xfId="1" applyNumberFormat="1" applyBorder="1" applyAlignment="1">
      <alignment horizontal="center"/>
    </xf>
    <xf numFmtId="0" fontId="7" fillId="0" borderId="0" xfId="1" applyFont="1"/>
    <xf numFmtId="0" fontId="4" fillId="0" borderId="2" xfId="1" applyBorder="1"/>
    <xf numFmtId="0" fontId="5" fillId="0" borderId="2" xfId="1" applyFont="1" applyBorder="1" applyAlignment="1">
      <alignment horizontal="center"/>
    </xf>
    <xf numFmtId="165" fontId="4" fillId="0" borderId="0" xfId="1" applyNumberFormat="1"/>
    <xf numFmtId="166" fontId="4" fillId="0" borderId="0" xfId="1" applyNumberFormat="1"/>
    <xf numFmtId="0" fontId="4" fillId="0" borderId="2" xfId="1" applyBorder="1" applyAlignment="1">
      <alignment horizontal="center"/>
    </xf>
    <xf numFmtId="0" fontId="9" fillId="0" borderId="0" xfId="0" applyFont="1" applyAlignment="1">
      <alignment horizontal="right"/>
    </xf>
    <xf numFmtId="1" fontId="9" fillId="0" borderId="0" xfId="0" applyNumberFormat="1" applyFont="1" applyAlignment="1">
      <alignment horizontal="right"/>
    </xf>
    <xf numFmtId="165" fontId="4" fillId="7" borderId="0" xfId="1" applyNumberFormat="1" applyFill="1"/>
    <xf numFmtId="2" fontId="4" fillId="0" borderId="0" xfId="1" applyNumberFormat="1" applyAlignment="1">
      <alignment horizontal="center"/>
    </xf>
    <xf numFmtId="0" fontId="4" fillId="0" borderId="0" xfId="1" applyFont="1" applyAlignment="1">
      <alignment horizontal="center"/>
    </xf>
    <xf numFmtId="166" fontId="4" fillId="8" borderId="0" xfId="1" applyNumberFormat="1" applyFill="1"/>
    <xf numFmtId="165" fontId="4" fillId="0" borderId="0" xfId="1" applyNumberFormat="1" applyAlignment="1">
      <alignment horizontal="center"/>
    </xf>
    <xf numFmtId="2" fontId="4" fillId="0" borderId="0" xfId="1" applyNumberFormat="1"/>
    <xf numFmtId="0" fontId="9" fillId="8" borderId="0" xfId="0" applyFont="1" applyFill="1" applyAlignment="1">
      <alignment horizontal="right"/>
    </xf>
    <xf numFmtId="1" fontId="9" fillId="8" borderId="0" xfId="0" applyNumberFormat="1" applyFont="1" applyFill="1" applyAlignment="1">
      <alignment horizontal="right"/>
    </xf>
    <xf numFmtId="0" fontId="9" fillId="7" borderId="0" xfId="0" applyFont="1" applyFill="1" applyAlignment="1">
      <alignment horizontal="right"/>
    </xf>
    <xf numFmtId="1" fontId="4" fillId="7" borderId="0" xfId="1" applyNumberFormat="1" applyFill="1" applyAlignment="1">
      <alignment horizontal="center"/>
    </xf>
    <xf numFmtId="0" fontId="4" fillId="7" borderId="0" xfId="1" applyFill="1"/>
    <xf numFmtId="2" fontId="4" fillId="0" borderId="0" xfId="1" applyNumberFormat="1" applyBorder="1"/>
    <xf numFmtId="2" fontId="4" fillId="5" borderId="0" xfId="1" applyNumberFormat="1" applyFill="1"/>
    <xf numFmtId="0" fontId="10" fillId="5" borderId="0" xfId="1" applyFont="1" applyFill="1" applyAlignment="1">
      <alignment horizontal="center"/>
    </xf>
    <xf numFmtId="1" fontId="4" fillId="8" borderId="0" xfId="1" applyNumberFormat="1" applyFill="1"/>
    <xf numFmtId="1" fontId="4" fillId="0" borderId="0" xfId="1" applyNumberFormat="1"/>
    <xf numFmtId="0" fontId="4" fillId="0" borderId="0" xfId="1" applyBorder="1"/>
    <xf numFmtId="0" fontId="2" fillId="0" borderId="0" xfId="4"/>
    <xf numFmtId="0" fontId="2" fillId="6" borderId="0" xfId="4" applyFill="1"/>
    <xf numFmtId="0" fontId="2" fillId="0" borderId="4" xfId="4" applyBorder="1"/>
    <xf numFmtId="0" fontId="2" fillId="0" borderId="3" xfId="4" applyBorder="1" applyAlignment="1">
      <alignment horizontal="left"/>
    </xf>
    <xf numFmtId="0" fontId="2" fillId="0" borderId="5" xfId="4" applyBorder="1" applyAlignment="1">
      <alignment horizontal="left"/>
    </xf>
    <xf numFmtId="0" fontId="2" fillId="0" borderId="5" xfId="4" applyFill="1" applyBorder="1" applyAlignment="1">
      <alignment horizontal="left"/>
    </xf>
    <xf numFmtId="0" fontId="2" fillId="0" borderId="6" xfId="4" applyBorder="1"/>
    <xf numFmtId="0" fontId="2" fillId="0" borderId="7" xfId="4" applyBorder="1" applyAlignment="1">
      <alignment horizontal="left" indent="1"/>
    </xf>
    <xf numFmtId="0" fontId="2" fillId="0" borderId="8" xfId="4" applyBorder="1" applyAlignment="1">
      <alignment horizontal="left" indent="1"/>
    </xf>
    <xf numFmtId="0" fontId="2" fillId="0" borderId="8" xfId="4" applyFill="1" applyBorder="1" applyAlignment="1">
      <alignment horizontal="left" indent="1"/>
    </xf>
    <xf numFmtId="0" fontId="2" fillId="0" borderId="0" xfId="4" applyBorder="1"/>
    <xf numFmtId="0" fontId="2" fillId="0" borderId="9" xfId="4" applyBorder="1"/>
    <xf numFmtId="0" fontId="2" fillId="0" borderId="11" xfId="4" applyBorder="1"/>
    <xf numFmtId="0" fontId="2" fillId="0" borderId="14" xfId="4" applyNumberFormat="1" applyBorder="1"/>
    <xf numFmtId="0" fontId="2" fillId="0" borderId="0" xfId="4" applyAlignment="1">
      <alignment horizontal="center"/>
    </xf>
    <xf numFmtId="0" fontId="12" fillId="0" borderId="0" xfId="4" applyFont="1"/>
    <xf numFmtId="0" fontId="2" fillId="0" borderId="2" xfId="4" applyBorder="1" applyAlignment="1">
      <alignment horizontal="center"/>
    </xf>
    <xf numFmtId="0" fontId="2" fillId="0" borderId="2" xfId="4" applyBorder="1"/>
    <xf numFmtId="165" fontId="2" fillId="9" borderId="0" xfId="4" applyNumberFormat="1" applyFill="1" applyAlignment="1">
      <alignment horizontal="center"/>
    </xf>
    <xf numFmtId="0" fontId="0" fillId="6" borderId="0" xfId="0" applyFill="1"/>
    <xf numFmtId="0" fontId="0" fillId="0" borderId="4" xfId="0" applyBorder="1"/>
    <xf numFmtId="0" fontId="0" fillId="0" borderId="3" xfId="0" applyBorder="1" applyAlignment="1">
      <alignment horizontal="left"/>
    </xf>
    <xf numFmtId="0" fontId="0" fillId="10" borderId="3" xfId="0" applyFill="1" applyBorder="1" applyAlignment="1">
      <alignment horizontal="left"/>
    </xf>
    <xf numFmtId="0" fontId="0" fillId="0" borderId="3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 indent="1"/>
    </xf>
    <xf numFmtId="0" fontId="0" fillId="0" borderId="8" xfId="0" applyBorder="1" applyAlignment="1">
      <alignment horizontal="left" indent="1"/>
    </xf>
    <xf numFmtId="0" fontId="0" fillId="10" borderId="8" xfId="0" applyFill="1" applyBorder="1" applyAlignment="1">
      <alignment horizontal="left" indent="1"/>
    </xf>
    <xf numFmtId="0" fontId="0" fillId="0" borderId="9" xfId="0" applyBorder="1"/>
    <xf numFmtId="0" fontId="0" fillId="0" borderId="0" xfId="0" applyNumberFormat="1" applyBorder="1"/>
    <xf numFmtId="0" fontId="0" fillId="0" borderId="10" xfId="0" applyNumberFormat="1" applyBorder="1"/>
    <xf numFmtId="0" fontId="0" fillId="6" borderId="13" xfId="0" applyNumberFormat="1" applyFill="1" applyBorder="1"/>
    <xf numFmtId="0" fontId="0" fillId="0" borderId="11" xfId="0" applyBorder="1"/>
    <xf numFmtId="0" fontId="0" fillId="0" borderId="12" xfId="0" applyNumberFormat="1" applyBorder="1"/>
    <xf numFmtId="0" fontId="0" fillId="6" borderId="12" xfId="0" applyNumberFormat="1" applyFill="1" applyBorder="1"/>
    <xf numFmtId="0" fontId="0" fillId="0" borderId="14" xfId="0" applyNumberFormat="1" applyBorder="1"/>
    <xf numFmtId="0" fontId="0" fillId="0" borderId="0" xfId="0" applyAlignment="1">
      <alignment horizontal="center"/>
    </xf>
    <xf numFmtId="0" fontId="2" fillId="0" borderId="0" xfId="4" applyNumberFormat="1" applyBorder="1" applyAlignment="1">
      <alignment horizontal="center"/>
    </xf>
    <xf numFmtId="0" fontId="2" fillId="0" borderId="10" xfId="4" applyNumberFormat="1" applyBorder="1" applyAlignment="1">
      <alignment horizontal="center"/>
    </xf>
    <xf numFmtId="0" fontId="2" fillId="0" borderId="12" xfId="4" applyNumberFormat="1" applyBorder="1" applyAlignment="1">
      <alignment horizontal="center"/>
    </xf>
    <xf numFmtId="0" fontId="2" fillId="6" borderId="13" xfId="4" applyNumberFormat="1" applyFill="1" applyBorder="1" applyAlignment="1">
      <alignment horizontal="center"/>
    </xf>
    <xf numFmtId="0" fontId="2" fillId="6" borderId="12" xfId="4" applyNumberFormat="1" applyFill="1" applyBorder="1" applyAlignment="1">
      <alignment horizontal="center"/>
    </xf>
    <xf numFmtId="0" fontId="2" fillId="0" borderId="14" xfId="4" applyNumberFormat="1" applyBorder="1" applyAlignment="1">
      <alignment horizontal="center"/>
    </xf>
    <xf numFmtId="164" fontId="13" fillId="3" borderId="0" xfId="1" applyNumberFormat="1" applyFont="1" applyFill="1" applyAlignment="1">
      <alignment horizontal="center"/>
    </xf>
    <xf numFmtId="0" fontId="3" fillId="0" borderId="15" xfId="4" applyFont="1" applyBorder="1" applyAlignment="1">
      <alignment horizontal="center"/>
    </xf>
    <xf numFmtId="0" fontId="3" fillId="11" borderId="0" xfId="4" applyFont="1" applyFill="1"/>
    <xf numFmtId="0" fontId="2" fillId="0" borderId="0" xfId="4" applyFont="1" applyFill="1" applyAlignment="1">
      <alignment horizontal="center"/>
    </xf>
    <xf numFmtId="0" fontId="2" fillId="0" borderId="0" xfId="4" applyFont="1" applyAlignment="1">
      <alignment horizontal="center"/>
    </xf>
    <xf numFmtId="0" fontId="2" fillId="0" borderId="0" xfId="4" applyBorder="1" applyAlignment="1">
      <alignment horizontal="center"/>
    </xf>
    <xf numFmtId="0" fontId="2" fillId="0" borderId="0" xfId="4" applyFont="1" applyFill="1" applyBorder="1" applyAlignment="1">
      <alignment horizontal="center"/>
    </xf>
    <xf numFmtId="0" fontId="2" fillId="0" borderId="0" xfId="4" applyFont="1"/>
    <xf numFmtId="20" fontId="2" fillId="0" borderId="0" xfId="4" quotePrefix="1" applyNumberFormat="1" applyFont="1" applyFill="1" applyBorder="1" applyAlignment="1">
      <alignment horizontal="center"/>
    </xf>
    <xf numFmtId="49" fontId="2" fillId="0" borderId="0" xfId="4" applyNumberFormat="1" applyAlignment="1">
      <alignment horizontal="center" vertical="center"/>
    </xf>
    <xf numFmtId="0" fontId="2" fillId="12" borderId="0" xfId="4" applyFill="1" applyAlignment="1">
      <alignment horizontal="center"/>
    </xf>
    <xf numFmtId="0" fontId="2" fillId="0" borderId="0" xfId="4" applyFont="1" applyBorder="1" applyAlignment="1">
      <alignment horizontal="center"/>
    </xf>
    <xf numFmtId="0" fontId="2" fillId="0" borderId="2" xfId="4" applyFont="1" applyBorder="1" applyAlignment="1">
      <alignment horizontal="center"/>
    </xf>
    <xf numFmtId="0" fontId="2" fillId="0" borderId="2" xfId="4" applyFont="1" applyBorder="1"/>
    <xf numFmtId="0" fontId="3" fillId="11" borderId="0" xfId="4" applyFont="1" applyFill="1" applyBorder="1"/>
    <xf numFmtId="0" fontId="2" fillId="0" borderId="0" xfId="4" applyAlignment="1">
      <alignment horizontal="center" vertical="center"/>
    </xf>
    <xf numFmtId="0" fontId="2" fillId="0" borderId="0" xfId="4" applyFill="1" applyAlignment="1">
      <alignment horizontal="center"/>
    </xf>
    <xf numFmtId="0" fontId="2" fillId="0" borderId="0" xfId="4" applyFill="1" applyAlignment="1">
      <alignment horizontal="left"/>
    </xf>
    <xf numFmtId="0" fontId="2" fillId="0" borderId="0" xfId="4" applyFont="1" applyBorder="1"/>
    <xf numFmtId="0" fontId="2" fillId="0" borderId="2" xfId="4" applyBorder="1" applyAlignment="1">
      <alignment horizontal="center"/>
    </xf>
    <xf numFmtId="0" fontId="2" fillId="0" borderId="2" xfId="4" applyBorder="1" applyAlignment="1">
      <alignment horizontal="left" vertical="center"/>
    </xf>
    <xf numFmtId="0" fontId="4" fillId="0" borderId="0" xfId="1" applyFont="1" applyAlignment="1">
      <alignment horizontal="left"/>
    </xf>
    <xf numFmtId="1" fontId="2" fillId="13" borderId="0" xfId="4" applyNumberFormat="1" applyFill="1" applyAlignment="1">
      <alignment horizontal="center"/>
    </xf>
    <xf numFmtId="0" fontId="1" fillId="0" borderId="0" xfId="4" applyFont="1"/>
    <xf numFmtId="0" fontId="0" fillId="14" borderId="0" xfId="0" applyFill="1"/>
    <xf numFmtId="0" fontId="5" fillId="14" borderId="0" xfId="0" applyFont="1" applyFill="1"/>
    <xf numFmtId="0" fontId="4" fillId="14" borderId="0" xfId="0" applyFont="1" applyFill="1" applyAlignment="1">
      <alignment horizontal="center"/>
    </xf>
    <xf numFmtId="0" fontId="0" fillId="14" borderId="2" xfId="0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0" xfId="0" applyFon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2" fontId="0" fillId="14" borderId="0" xfId="0" applyNumberFormat="1" applyFill="1" applyAlignment="1">
      <alignment horizontal="center"/>
    </xf>
    <xf numFmtId="0" fontId="4" fillId="6" borderId="0" xfId="0" applyFont="1" applyFill="1"/>
    <xf numFmtId="0" fontId="4" fillId="14" borderId="0" xfId="0" applyFont="1" applyFill="1"/>
    <xf numFmtId="0" fontId="0" fillId="0" borderId="0" xfId="0" applyFill="1"/>
    <xf numFmtId="0" fontId="4" fillId="0" borderId="0" xfId="0" applyFont="1" applyFill="1"/>
    <xf numFmtId="0" fontId="3" fillId="0" borderId="0" xfId="4" applyFont="1"/>
    <xf numFmtId="0" fontId="19" fillId="0" borderId="0" xfId="4" applyFont="1"/>
    <xf numFmtId="0" fontId="20" fillId="0" borderId="0" xfId="4" applyFont="1"/>
    <xf numFmtId="0" fontId="4" fillId="0" borderId="0" xfId="2"/>
    <xf numFmtId="0" fontId="5" fillId="0" borderId="0" xfId="2" applyFont="1"/>
    <xf numFmtId="0" fontId="4" fillId="0" borderId="2" xfId="2" applyBorder="1"/>
    <xf numFmtId="0" fontId="4" fillId="0" borderId="0" xfId="2" applyFont="1"/>
    <xf numFmtId="0" fontId="21" fillId="0" borderId="3" xfId="2" applyFont="1" applyBorder="1"/>
    <xf numFmtId="0" fontId="21" fillId="0" borderId="3" xfId="2" applyFont="1" applyBorder="1" applyAlignment="1">
      <alignment horizontal="center"/>
    </xf>
    <xf numFmtId="0" fontId="21" fillId="0" borderId="0" xfId="2" applyFont="1" applyFill="1" applyBorder="1" applyAlignment="1">
      <alignment horizontal="center"/>
    </xf>
    <xf numFmtId="0" fontId="21" fillId="0" borderId="0" xfId="2" applyFont="1" applyBorder="1" applyAlignment="1">
      <alignment horizontal="center"/>
    </xf>
    <xf numFmtId="0" fontId="21" fillId="0" borderId="2" xfId="2" applyFont="1" applyFill="1" applyBorder="1" applyAlignment="1">
      <alignment horizontal="center"/>
    </xf>
    <xf numFmtId="0" fontId="21" fillId="0" borderId="2" xfId="2" applyFont="1" applyBorder="1" applyAlignment="1">
      <alignment horizontal="center"/>
    </xf>
    <xf numFmtId="165" fontId="21" fillId="0" borderId="0" xfId="2" applyNumberFormat="1" applyFont="1" applyAlignment="1">
      <alignment horizontal="center"/>
    </xf>
    <xf numFmtId="0" fontId="21" fillId="0" borderId="0" xfId="2" applyFont="1" applyAlignment="1">
      <alignment horizontal="center"/>
    </xf>
    <xf numFmtId="164" fontId="22" fillId="0" borderId="0" xfId="2" applyNumberFormat="1" applyFont="1" applyFill="1" applyBorder="1" applyAlignment="1">
      <alignment horizontal="center"/>
    </xf>
    <xf numFmtId="0" fontId="21" fillId="0" borderId="0" xfId="2" applyFont="1"/>
    <xf numFmtId="20" fontId="21" fillId="0" borderId="0" xfId="2" quotePrefix="1" applyNumberFormat="1" applyFont="1" applyAlignment="1">
      <alignment horizontal="center"/>
    </xf>
    <xf numFmtId="0" fontId="21" fillId="0" borderId="0" xfId="2" applyFont="1" applyBorder="1" applyAlignment="1">
      <alignment horizontal="left"/>
    </xf>
    <xf numFmtId="0" fontId="21" fillId="0" borderId="0" xfId="2" applyFont="1" applyFill="1"/>
    <xf numFmtId="0" fontId="21" fillId="0" borderId="0" xfId="2" applyFont="1" applyFill="1" applyBorder="1"/>
    <xf numFmtId="0" fontId="4" fillId="0" borderId="0" xfId="2" applyFont="1" applyAlignment="1">
      <alignment horizontal="right"/>
    </xf>
    <xf numFmtId="0" fontId="4" fillId="0" borderId="0" xfId="2" applyAlignment="1">
      <alignment horizontal="left"/>
    </xf>
    <xf numFmtId="0" fontId="24" fillId="0" borderId="0" xfId="2" applyFont="1" applyAlignment="1">
      <alignment horizontal="center"/>
    </xf>
    <xf numFmtId="0" fontId="22" fillId="0" borderId="0" xfId="2" applyFont="1" applyAlignment="1">
      <alignment horizontal="center"/>
    </xf>
    <xf numFmtId="164" fontId="22" fillId="0" borderId="0" xfId="2" applyNumberFormat="1" applyFont="1" applyAlignment="1">
      <alignment horizontal="center"/>
    </xf>
    <xf numFmtId="0" fontId="7" fillId="0" borderId="0" xfId="2" applyFont="1"/>
    <xf numFmtId="0" fontId="22" fillId="0" borderId="0" xfId="2" applyFont="1" applyBorder="1"/>
    <xf numFmtId="167" fontId="22" fillId="0" borderId="0" xfId="2" applyNumberFormat="1" applyFont="1" applyBorder="1" applyAlignment="1">
      <alignment horizontal="center"/>
    </xf>
    <xf numFmtId="166" fontId="22" fillId="0" borderId="0" xfId="2" applyNumberFormat="1" applyFont="1" applyBorder="1" applyAlignment="1">
      <alignment horizontal="center"/>
    </xf>
    <xf numFmtId="0" fontId="21" fillId="0" borderId="0" xfId="2" applyFont="1" applyBorder="1"/>
    <xf numFmtId="0" fontId="4" fillId="0" borderId="2" xfId="2" applyFont="1" applyBorder="1"/>
    <xf numFmtId="1" fontId="4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6" fillId="0" borderId="0" xfId="2" applyFont="1"/>
    <xf numFmtId="0" fontId="21" fillId="6" borderId="16" xfId="2" applyFont="1" applyFill="1" applyBorder="1" applyAlignment="1">
      <alignment horizontal="center"/>
    </xf>
    <xf numFmtId="1" fontId="27" fillId="0" borderId="0" xfId="0" applyNumberFormat="1" applyFont="1" applyFill="1" applyAlignment="1">
      <alignment horizontal="center"/>
    </xf>
    <xf numFmtId="0" fontId="23" fillId="0" borderId="0" xfId="2" applyFont="1"/>
    <xf numFmtId="1" fontId="27" fillId="0" borderId="2" xfId="0" applyNumberFormat="1" applyFont="1" applyFill="1" applyBorder="1" applyAlignment="1">
      <alignment horizontal="center"/>
    </xf>
    <xf numFmtId="164" fontId="27" fillId="0" borderId="0" xfId="0" applyNumberFormat="1" applyFont="1" applyFill="1" applyAlignment="1">
      <alignment horizontal="center"/>
    </xf>
    <xf numFmtId="164" fontId="27" fillId="0" borderId="2" xfId="0" applyNumberFormat="1" applyFont="1" applyFill="1" applyBorder="1" applyAlignment="1">
      <alignment horizontal="center"/>
    </xf>
    <xf numFmtId="11" fontId="4" fillId="0" borderId="0" xfId="2" applyNumberFormat="1" applyAlignment="1">
      <alignment horizontal="left"/>
    </xf>
    <xf numFmtId="164" fontId="22" fillId="0" borderId="2" xfId="2" applyNumberFormat="1" applyFont="1" applyBorder="1" applyAlignment="1">
      <alignment horizontal="center"/>
    </xf>
    <xf numFmtId="164" fontId="4" fillId="6" borderId="0" xfId="1" applyNumberFormat="1" applyFill="1" applyAlignment="1">
      <alignment horizontal="center"/>
    </xf>
    <xf numFmtId="0" fontId="4" fillId="6" borderId="0" xfId="1" applyFill="1" applyAlignment="1">
      <alignment horizontal="center"/>
    </xf>
    <xf numFmtId="0" fontId="4" fillId="6" borderId="0" xfId="1" applyFont="1" applyFill="1" applyAlignment="1">
      <alignment horizontal="center"/>
    </xf>
    <xf numFmtId="0" fontId="9" fillId="0" borderId="0" xfId="1" applyFont="1"/>
    <xf numFmtId="0" fontId="4" fillId="14" borderId="0" xfId="1" applyFont="1" applyFill="1" applyAlignment="1">
      <alignment horizontal="center"/>
    </xf>
    <xf numFmtId="0" fontId="4" fillId="14" borderId="0" xfId="1" applyFill="1" applyAlignment="1">
      <alignment horizontal="center"/>
    </xf>
    <xf numFmtId="0" fontId="4" fillId="14" borderId="0" xfId="1" applyFill="1"/>
    <xf numFmtId="0" fontId="5" fillId="14" borderId="0" xfId="1" applyFont="1" applyFill="1"/>
    <xf numFmtId="0" fontId="28" fillId="0" borderId="2" xfId="1" applyFont="1" applyBorder="1" applyAlignment="1">
      <alignment horizontal="center"/>
    </xf>
    <xf numFmtId="0" fontId="7" fillId="0" borderId="0" xfId="1" applyFont="1" applyAlignment="1">
      <alignment horizontal="center"/>
    </xf>
    <xf numFmtId="164" fontId="4" fillId="14" borderId="0" xfId="1" applyNumberFormat="1" applyFill="1" applyAlignment="1">
      <alignment horizontal="center"/>
    </xf>
    <xf numFmtId="164" fontId="7" fillId="0" borderId="0" xfId="1" applyNumberFormat="1" applyFont="1" applyAlignment="1">
      <alignment horizontal="center"/>
    </xf>
    <xf numFmtId="49" fontId="1" fillId="0" borderId="2" xfId="4" applyNumberFormat="1" applyFont="1" applyBorder="1" applyAlignment="1">
      <alignment horizontal="center" vertical="center"/>
    </xf>
    <xf numFmtId="0" fontId="1" fillId="0" borderId="0" xfId="4" applyFont="1" applyAlignment="1">
      <alignment horizontal="center" vertical="center"/>
    </xf>
    <xf numFmtId="49" fontId="1" fillId="0" borderId="0" xfId="4" applyNumberFormat="1" applyFont="1" applyAlignment="1">
      <alignment horizontal="center"/>
    </xf>
    <xf numFmtId="49" fontId="2" fillId="0" borderId="0" xfId="4" applyNumberFormat="1" applyFill="1" applyAlignment="1">
      <alignment horizontal="center" vertical="center"/>
    </xf>
    <xf numFmtId="0" fontId="1" fillId="0" borderId="2" xfId="4" applyFont="1" applyFill="1" applyBorder="1" applyAlignment="1">
      <alignment horizontal="center"/>
    </xf>
    <xf numFmtId="0" fontId="1" fillId="0" borderId="0" xfId="4" applyFont="1" applyFill="1" applyBorder="1" applyAlignment="1">
      <alignment horizontal="center"/>
    </xf>
    <xf numFmtId="0" fontId="2" fillId="0" borderId="2" xfId="4" applyFont="1" applyFill="1" applyBorder="1" applyAlignment="1">
      <alignment horizontal="center"/>
    </xf>
    <xf numFmtId="0" fontId="2" fillId="0" borderId="0" xfId="4" applyFill="1" applyBorder="1" applyAlignment="1">
      <alignment horizontal="left" vertical="center"/>
    </xf>
    <xf numFmtId="49" fontId="1" fillId="0" borderId="0" xfId="4" applyNumberFormat="1" applyFont="1" applyAlignment="1">
      <alignment horizontal="center" vertical="center"/>
    </xf>
    <xf numFmtId="2" fontId="4" fillId="14" borderId="0" xfId="0" applyNumberFormat="1" applyFont="1" applyFill="1" applyAlignment="1">
      <alignment horizontal="center"/>
    </xf>
    <xf numFmtId="0" fontId="2" fillId="0" borderId="12" xfId="4" applyNumberFormat="1" applyFill="1" applyBorder="1" applyAlignment="1">
      <alignment horizontal="center"/>
    </xf>
    <xf numFmtId="1" fontId="2" fillId="9" borderId="0" xfId="4" applyNumberFormat="1" applyFill="1" applyAlignment="1">
      <alignment horizontal="center"/>
    </xf>
    <xf numFmtId="165" fontId="2" fillId="0" borderId="14" xfId="4" applyNumberFormat="1" applyBorder="1"/>
    <xf numFmtId="0" fontId="5" fillId="2" borderId="0" xfId="2" applyFont="1" applyFill="1"/>
    <xf numFmtId="0" fontId="4" fillId="2" borderId="0" xfId="2" applyFill="1"/>
    <xf numFmtId="0" fontId="4" fillId="0" borderId="17" xfId="1" applyBorder="1"/>
    <xf numFmtId="1" fontId="8" fillId="0" borderId="16" xfId="1" applyNumberFormat="1" applyFont="1" applyFill="1" applyBorder="1" applyAlignment="1">
      <alignment horizontal="center"/>
    </xf>
    <xf numFmtId="164" fontId="4" fillId="0" borderId="0" xfId="1" applyNumberFormat="1"/>
    <xf numFmtId="0" fontId="7" fillId="4" borderId="0" xfId="1" applyFont="1" applyFill="1" applyAlignment="1">
      <alignment horizontal="center"/>
    </xf>
    <xf numFmtId="0" fontId="29" fillId="4" borderId="0" xfId="1" applyFont="1" applyFill="1" applyAlignment="1">
      <alignment horizontal="center"/>
    </xf>
    <xf numFmtId="0" fontId="4" fillId="0" borderId="2" xfId="1" applyBorder="1" applyAlignment="1">
      <alignment horizontal="center"/>
    </xf>
    <xf numFmtId="0" fontId="2" fillId="0" borderId="0" xfId="4" applyBorder="1" applyAlignment="1">
      <alignment horizontal="center"/>
    </xf>
    <xf numFmtId="0" fontId="2" fillId="0" borderId="2" xfId="4" applyBorder="1" applyAlignment="1">
      <alignment horizontal="center"/>
    </xf>
    <xf numFmtId="0" fontId="29" fillId="4" borderId="16" xfId="1" applyFont="1" applyFill="1" applyBorder="1" applyAlignment="1">
      <alignment horizontal="center"/>
    </xf>
  </cellXfs>
  <cellStyles count="7">
    <cellStyle name="Comma 2" xfId="6"/>
    <cellStyle name="Normal" xfId="0" builtinId="0"/>
    <cellStyle name="Normal 2" xfId="2"/>
    <cellStyle name="Normal 2 2" xfId="1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/>
              <a:t>Catches North</a:t>
            </a:r>
            <a:r>
              <a:rPr lang="en-US" sz="1600" b="0" baseline="0"/>
              <a:t> Atlantic</a:t>
            </a:r>
            <a:endParaRPr lang="en-US" sz="1600" b="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36351706036745"/>
          <c:y val="0.24121536891221931"/>
          <c:w val="0.74738735783027122"/>
          <c:h val="0.56375400991542723"/>
        </c:manualLayout>
      </c:layout>
      <c:areaChart>
        <c:grouping val="standard"/>
        <c:varyColors val="0"/>
        <c:ser>
          <c:idx val="0"/>
          <c:order val="0"/>
          <c:tx>
            <c:v>Base catches</c:v>
          </c:tx>
          <c:cat>
            <c:numRef>
              <c:f>Catches!$B$8:$B$73</c:f>
              <c:numCache>
                <c:formatCode>General</c:formatCode>
                <c:ptCount val="66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</c:numCache>
            </c:numRef>
          </c:cat>
          <c:val>
            <c:numRef>
              <c:f>Catches!$Q$8:$Q$73</c:f>
              <c:numCache>
                <c:formatCode>0.0</c:formatCode>
                <c:ptCount val="66"/>
                <c:pt idx="0">
                  <c:v>105.63</c:v>
                </c:pt>
                <c:pt idx="1">
                  <c:v>70.614999999999995</c:v>
                </c:pt>
                <c:pt idx="2">
                  <c:v>70.614999999999995</c:v>
                </c:pt>
                <c:pt idx="3">
                  <c:v>87.94</c:v>
                </c:pt>
                <c:pt idx="4">
                  <c:v>22.295999999999999</c:v>
                </c:pt>
                <c:pt idx="5">
                  <c:v>45.249000000000002</c:v>
                </c:pt>
                <c:pt idx="6">
                  <c:v>27.34</c:v>
                </c:pt>
                <c:pt idx="7">
                  <c:v>73.100999999999999</c:v>
                </c:pt>
                <c:pt idx="8">
                  <c:v>60.82</c:v>
                </c:pt>
                <c:pt idx="9">
                  <c:v>80.411000000000001</c:v>
                </c:pt>
                <c:pt idx="10">
                  <c:v>52.779000000000003</c:v>
                </c:pt>
                <c:pt idx="11">
                  <c:v>128.23670000000001</c:v>
                </c:pt>
                <c:pt idx="12">
                  <c:v>176.0634</c:v>
                </c:pt>
                <c:pt idx="13">
                  <c:v>77.066699999999997</c:v>
                </c:pt>
                <c:pt idx="14">
                  <c:v>143.47809999999998</c:v>
                </c:pt>
                <c:pt idx="15">
                  <c:v>114.0063</c:v>
                </c:pt>
                <c:pt idx="16">
                  <c:v>227.16040000000001</c:v>
                </c:pt>
                <c:pt idx="17">
                  <c:v>203.91145</c:v>
                </c:pt>
                <c:pt idx="18">
                  <c:v>268.17234999999999</c:v>
                </c:pt>
                <c:pt idx="19">
                  <c:v>266.57319999999999</c:v>
                </c:pt>
                <c:pt idx="20">
                  <c:v>240.25129999999999</c:v>
                </c:pt>
                <c:pt idx="21">
                  <c:v>373.25295</c:v>
                </c:pt>
                <c:pt idx="22">
                  <c:v>359.56725</c:v>
                </c:pt>
                <c:pt idx="23">
                  <c:v>347.80450000000002</c:v>
                </c:pt>
                <c:pt idx="24">
                  <c:v>526.41140000000007</c:v>
                </c:pt>
                <c:pt idx="25">
                  <c:v>627.82225000000005</c:v>
                </c:pt>
                <c:pt idx="26">
                  <c:v>297.7824</c:v>
                </c:pt>
                <c:pt idx="27">
                  <c:v>481.85570000000001</c:v>
                </c:pt>
                <c:pt idx="28">
                  <c:v>424.23644999999999</c:v>
                </c:pt>
                <c:pt idx="29">
                  <c:v>371.22360000000003</c:v>
                </c:pt>
                <c:pt idx="30">
                  <c:v>614.40219999999988</c:v>
                </c:pt>
                <c:pt idx="31">
                  <c:v>1179.2708</c:v>
                </c:pt>
                <c:pt idx="32">
                  <c:v>1373.2264500000001</c:v>
                </c:pt>
                <c:pt idx="33">
                  <c:v>1311.3947499999999</c:v>
                </c:pt>
                <c:pt idx="34">
                  <c:v>1623.8720499999999</c:v>
                </c:pt>
                <c:pt idx="35">
                  <c:v>3847.4711499999999</c:v>
                </c:pt>
                <c:pt idx="36">
                  <c:v>3776.5596999999998</c:v>
                </c:pt>
                <c:pt idx="37">
                  <c:v>3321.4566000000004</c:v>
                </c:pt>
                <c:pt idx="38">
                  <c:v>3000.82485</c:v>
                </c:pt>
                <c:pt idx="39">
                  <c:v>2244.3301499999998</c:v>
                </c:pt>
                <c:pt idx="40">
                  <c:v>2348.0425999999998</c:v>
                </c:pt>
                <c:pt idx="41">
                  <c:v>2292.4764999999998</c:v>
                </c:pt>
                <c:pt idx="42">
                  <c:v>3145.9164500000002</c:v>
                </c:pt>
                <c:pt idx="43">
                  <c:v>4185.1739500000012</c:v>
                </c:pt>
                <c:pt idx="44">
                  <c:v>3730.62185</c:v>
                </c:pt>
                <c:pt idx="45">
                  <c:v>5376.7534999999998</c:v>
                </c:pt>
                <c:pt idx="46">
                  <c:v>5398.0226499999999</c:v>
                </c:pt>
                <c:pt idx="47">
                  <c:v>3754.4877500000002</c:v>
                </c:pt>
                <c:pt idx="48">
                  <c:v>3895.3708000000001</c:v>
                </c:pt>
                <c:pt idx="49">
                  <c:v>2841.5144500000001</c:v>
                </c:pt>
                <c:pt idx="50">
                  <c:v>2652.8738000000003</c:v>
                </c:pt>
                <c:pt idx="51">
                  <c:v>2896.2838999999999</c:v>
                </c:pt>
                <c:pt idx="52">
                  <c:v>3570.3321999999998</c:v>
                </c:pt>
                <c:pt idx="53">
                  <c:v>4023.5266499999993</c:v>
                </c:pt>
                <c:pt idx="54">
                  <c:v>4044.7069700000002</c:v>
                </c:pt>
                <c:pt idx="55">
                  <c:v>3742.5451500000004</c:v>
                </c:pt>
                <c:pt idx="56">
                  <c:v>3607.6985499999996</c:v>
                </c:pt>
                <c:pt idx="57">
                  <c:v>4215.5480600000001</c:v>
                </c:pt>
                <c:pt idx="58">
                  <c:v>3851.9898000000003</c:v>
                </c:pt>
                <c:pt idx="59">
                  <c:v>4669.2301100000004</c:v>
                </c:pt>
                <c:pt idx="60">
                  <c:v>4823.8099499999998</c:v>
                </c:pt>
                <c:pt idx="61">
                  <c:v>3812.0801950000005</c:v>
                </c:pt>
                <c:pt idx="62">
                  <c:v>4497.8896580714309</c:v>
                </c:pt>
                <c:pt idx="63">
                  <c:v>3650.8558619999994</c:v>
                </c:pt>
                <c:pt idx="64">
                  <c:v>2916.2274894745506</c:v>
                </c:pt>
                <c:pt idx="65">
                  <c:v>3226.9612709999997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73056"/>
        <c:axId val="137774592"/>
      </c:areaChart>
      <c:lineChart>
        <c:grouping val="standard"/>
        <c:varyColors val="0"/>
        <c:ser>
          <c:idx val="1"/>
          <c:order val="1"/>
          <c:tx>
            <c:v>Sensitivity catches</c:v>
          </c:tx>
          <c:marker>
            <c:symbol val="none"/>
          </c:marker>
          <c:cat>
            <c:numRef>
              <c:f>Catches!$B$8:$B$73</c:f>
              <c:numCache>
                <c:formatCode>General</c:formatCode>
                <c:ptCount val="66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</c:numCache>
            </c:numRef>
          </c:cat>
          <c:val>
            <c:numRef>
              <c:f>Catches!$R$8:$R$73</c:f>
              <c:numCache>
                <c:formatCode>General</c:formatCode>
                <c:ptCount val="66"/>
                <c:pt idx="21" formatCode="0">
                  <c:v>2357.7974552040005</c:v>
                </c:pt>
                <c:pt idx="22" formatCode="0">
                  <c:v>2218.9948647000001</c:v>
                </c:pt>
                <c:pt idx="23" formatCode="0">
                  <c:v>2114.1911347600003</c:v>
                </c:pt>
                <c:pt idx="24" formatCode="0">
                  <c:v>2259.5432559200008</c:v>
                </c:pt>
                <c:pt idx="25" formatCode="0">
                  <c:v>1742.7100440000004</c:v>
                </c:pt>
                <c:pt idx="26" formatCode="0">
                  <c:v>1907.0440680000002</c:v>
                </c:pt>
                <c:pt idx="27" formatCode="0">
                  <c:v>2066.5310630000004</c:v>
                </c:pt>
                <c:pt idx="28" formatCode="0">
                  <c:v>2168.451078000001</c:v>
                </c:pt>
                <c:pt idx="29" formatCode="0">
                  <c:v>2146.7574489999997</c:v>
                </c:pt>
                <c:pt idx="30" formatCode="0">
                  <c:v>1720.459525</c:v>
                </c:pt>
                <c:pt idx="31" formatCode="0">
                  <c:v>2286.0653219999995</c:v>
                </c:pt>
                <c:pt idx="32" formatCode="0">
                  <c:v>2579.614204</c:v>
                </c:pt>
                <c:pt idx="33" formatCode="0">
                  <c:v>2293.2818000000002</c:v>
                </c:pt>
                <c:pt idx="34" formatCode="0">
                  <c:v>2854.3682999999996</c:v>
                </c:pt>
                <c:pt idx="35" formatCode="0">
                  <c:v>4828.7994990000007</c:v>
                </c:pt>
                <c:pt idx="36" formatCode="0">
                  <c:v>3514.5029115262605</c:v>
                </c:pt>
                <c:pt idx="37" formatCode="0">
                  <c:v>2211.5601952661195</c:v>
                </c:pt>
                <c:pt idx="38" formatCode="0">
                  <c:v>2716.4292040252153</c:v>
                </c:pt>
                <c:pt idx="39" formatCode="0">
                  <c:v>2705.6227192270508</c:v>
                </c:pt>
                <c:pt idx="40" formatCode="0">
                  <c:v>2702.3188555677275</c:v>
                </c:pt>
                <c:pt idx="41" formatCode="0">
                  <c:v>2747.0841939617999</c:v>
                </c:pt>
                <c:pt idx="42" formatCode="0">
                  <c:v>2820.8333684362697</c:v>
                </c:pt>
                <c:pt idx="43" formatCode="0">
                  <c:v>3421.0861698909584</c:v>
                </c:pt>
                <c:pt idx="44" formatCode="0">
                  <c:v>3494.5593110782602</c:v>
                </c:pt>
                <c:pt idx="45" formatCode="0">
                  <c:v>4759.0768797460623</c:v>
                </c:pt>
                <c:pt idx="46" formatCode="0">
                  <c:v>3246.9625695077343</c:v>
                </c:pt>
                <c:pt idx="47" formatCode="0">
                  <c:v>5121.4891572321694</c:v>
                </c:pt>
                <c:pt idx="48" formatCode="0">
                  <c:v>4967.4967321294916</c:v>
                </c:pt>
                <c:pt idx="49" formatCode="0">
                  <c:v>5071.032166371564</c:v>
                </c:pt>
                <c:pt idx="50" formatCode="0">
                  <c:v>5278.0777483539314</c:v>
                </c:pt>
                <c:pt idx="51" formatCode="0">
                  <c:v>5109.4295441566319</c:v>
                </c:pt>
                <c:pt idx="52" formatCode="0">
                  <c:v>3979.275532626275</c:v>
                </c:pt>
                <c:pt idx="53" formatCode="0">
                  <c:v>4208.9558594138853</c:v>
                </c:pt>
                <c:pt idx="54" formatCode="0">
                  <c:v>4246.8531447913465</c:v>
                </c:pt>
                <c:pt idx="55" formatCode="0">
                  <c:v>4809.9105998158884</c:v>
                </c:pt>
                <c:pt idx="56" formatCode="0">
                  <c:v>4569.010726348065</c:v>
                </c:pt>
                <c:pt idx="57" formatCode="0">
                  <c:v>4371.837559691071</c:v>
                </c:pt>
                <c:pt idx="58" formatCode="0">
                  <c:v>4578.8207801180552</c:v>
                </c:pt>
                <c:pt idx="59" formatCode="0">
                  <c:v>4998.2349760893439</c:v>
                </c:pt>
                <c:pt idx="60" formatCode="0">
                  <c:v>5162.2835599251048</c:v>
                </c:pt>
                <c:pt idx="61" formatCode="0">
                  <c:v>5059.3667089366409</c:v>
                </c:pt>
                <c:pt idx="62" formatCode="0">
                  <c:v>4994.7316781354539</c:v>
                </c:pt>
                <c:pt idx="63" formatCode="0">
                  <c:v>4903.9601263628174</c:v>
                </c:pt>
                <c:pt idx="64" formatCode="0">
                  <c:v>4526.8307693206771</c:v>
                </c:pt>
                <c:pt idx="65" formatCode="0">
                  <c:v>4255.8944338290485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73056"/>
        <c:axId val="137774592"/>
      </c:lineChart>
      <c:catAx>
        <c:axId val="13777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774592"/>
        <c:crosses val="autoZero"/>
        <c:auto val="1"/>
        <c:lblAlgn val="ctr"/>
        <c:lblOffset val="100"/>
        <c:noMultiLvlLbl val="0"/>
      </c:catAx>
      <c:valAx>
        <c:axId val="137774592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37773056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640354330708659"/>
          <c:y val="0.13671296296296295"/>
          <c:w val="0.58158486439195101"/>
          <c:h val="8.3717191601049873E-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/>
              <a:t>Catches South </a:t>
            </a:r>
            <a:r>
              <a:rPr lang="en-US" sz="1600" b="0" baseline="0"/>
              <a:t>Atlantic</a:t>
            </a:r>
            <a:endParaRPr lang="en-US" sz="1600" b="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125240594925635"/>
          <c:y val="0.24121536891221931"/>
          <c:w val="0.75849846894138229"/>
          <c:h val="0.60542067658209386"/>
        </c:manualLayout>
      </c:layout>
      <c:areaChart>
        <c:grouping val="standard"/>
        <c:varyColors val="0"/>
        <c:ser>
          <c:idx val="0"/>
          <c:order val="0"/>
          <c:tx>
            <c:v>Base catches</c:v>
          </c:tx>
          <c:cat>
            <c:numRef>
              <c:f>Catches!$T$9:$T$53</c:f>
              <c:numCache>
                <c:formatCode>General</c:formatCode>
                <c:ptCount val="4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</c:numCache>
            </c:numRef>
          </c:cat>
          <c:val>
            <c:numRef>
              <c:f>Catches!$AI$9:$AI$53</c:f>
              <c:numCache>
                <c:formatCode>0.0</c:formatCode>
                <c:ptCount val="45"/>
                <c:pt idx="0">
                  <c:v>97.326622683899487</c:v>
                </c:pt>
                <c:pt idx="1">
                  <c:v>60.328060680206733</c:v>
                </c:pt>
                <c:pt idx="2">
                  <c:v>211.75056007862219</c:v>
                </c:pt>
                <c:pt idx="3">
                  <c:v>67.161555506579603</c:v>
                </c:pt>
                <c:pt idx="4">
                  <c:v>76.129117269638527</c:v>
                </c:pt>
                <c:pt idx="5">
                  <c:v>30.105307010540979</c:v>
                </c:pt>
                <c:pt idx="6">
                  <c:v>252.25599422478831</c:v>
                </c:pt>
                <c:pt idx="7">
                  <c:v>168.22643198046174</c:v>
                </c:pt>
                <c:pt idx="8">
                  <c:v>299.49249217940087</c:v>
                </c:pt>
                <c:pt idx="9">
                  <c:v>323.62816375244989</c:v>
                </c:pt>
                <c:pt idx="10">
                  <c:v>375.09186516409255</c:v>
                </c:pt>
                <c:pt idx="11">
                  <c:v>973.61760968967326</c:v>
                </c:pt>
                <c:pt idx="12">
                  <c:v>511.63530075406169</c:v>
                </c:pt>
                <c:pt idx="13">
                  <c:v>744.77968047650052</c:v>
                </c:pt>
                <c:pt idx="14">
                  <c:v>785.54911654773707</c:v>
                </c:pt>
                <c:pt idx="15">
                  <c:v>608.78498869021041</c:v>
                </c:pt>
                <c:pt idx="16">
                  <c:v>386.1136732574858</c:v>
                </c:pt>
                <c:pt idx="17">
                  <c:v>1031.6646075239685</c:v>
                </c:pt>
                <c:pt idx="18">
                  <c:v>1545.6239824337313</c:v>
                </c:pt>
                <c:pt idx="19">
                  <c:v>1255.1049744928152</c:v>
                </c:pt>
                <c:pt idx="20">
                  <c:v>1061.6829802680268</c:v>
                </c:pt>
                <c:pt idx="21">
                  <c:v>1182.9735232616479</c:v>
                </c:pt>
                <c:pt idx="22">
                  <c:v>1742.9682822252576</c:v>
                </c:pt>
                <c:pt idx="23">
                  <c:v>2182.418663872767</c:v>
                </c:pt>
                <c:pt idx="24">
                  <c:v>3099.9820953719609</c:v>
                </c:pt>
                <c:pt idx="25">
                  <c:v>2426.8092215450511</c:v>
                </c:pt>
                <c:pt idx="26">
                  <c:v>2247.375188337583</c:v>
                </c:pt>
                <c:pt idx="27">
                  <c:v>2009.3971921877248</c:v>
                </c:pt>
                <c:pt idx="28">
                  <c:v>1606.5920000000001</c:v>
                </c:pt>
                <c:pt idx="29">
                  <c:v>2589.703</c:v>
                </c:pt>
                <c:pt idx="30">
                  <c:v>2107.5572999999999</c:v>
                </c:pt>
                <c:pt idx="31">
                  <c:v>2103.3270000000002</c:v>
                </c:pt>
                <c:pt idx="32">
                  <c:v>3235.6591000000008</c:v>
                </c:pt>
                <c:pt idx="33">
                  <c:v>2525.7092715773952</c:v>
                </c:pt>
                <c:pt idx="34">
                  <c:v>3258.9092351919971</c:v>
                </c:pt>
                <c:pt idx="35">
                  <c:v>3035.6881596818312</c:v>
                </c:pt>
                <c:pt idx="36">
                  <c:v>2786.0086710000005</c:v>
                </c:pt>
                <c:pt idx="37">
                  <c:v>1929.07358</c:v>
                </c:pt>
                <c:pt idx="38">
                  <c:v>2086.9070000000002</c:v>
                </c:pt>
                <c:pt idx="39">
                  <c:v>2563.0035318314267</c:v>
                </c:pt>
                <c:pt idx="40">
                  <c:v>3334.3560731058542</c:v>
                </c:pt>
                <c:pt idx="41">
                  <c:v>2965.4303200000008</c:v>
                </c:pt>
                <c:pt idx="42">
                  <c:v>1972.2062000000003</c:v>
                </c:pt>
                <c:pt idx="43">
                  <c:v>3314.0802200000003</c:v>
                </c:pt>
                <c:pt idx="44">
                  <c:v>2686.16752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11744"/>
        <c:axId val="140913280"/>
      </c:areaChart>
      <c:lineChart>
        <c:grouping val="standard"/>
        <c:varyColors val="0"/>
        <c:ser>
          <c:idx val="1"/>
          <c:order val="1"/>
          <c:tx>
            <c:v>Sensitivity catches</c:v>
          </c:tx>
          <c:marker>
            <c:symbol val="none"/>
          </c:marker>
          <c:cat>
            <c:strRef>
              <c:f>Catches!$T$1:$T$53</c:f>
              <c:strCache>
                <c:ptCount val="53"/>
                <c:pt idx="5">
                  <c:v>Yellow = not Task I</c:v>
                </c:pt>
                <c:pt idx="6">
                  <c:v>Flag</c:v>
                </c:pt>
                <c:pt idx="7">
                  <c:v>Gear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</c:strCache>
            </c:strRef>
          </c:cat>
          <c:val>
            <c:numRef>
              <c:f>Catches!$AJ$9:$AJ$53</c:f>
              <c:numCache>
                <c:formatCode>0</c:formatCode>
                <c:ptCount val="45"/>
                <c:pt idx="0">
                  <c:v>1347.927645</c:v>
                </c:pt>
                <c:pt idx="1">
                  <c:v>1503.0837042000007</c:v>
                </c:pt>
                <c:pt idx="2">
                  <c:v>1432.8258540000004</c:v>
                </c:pt>
                <c:pt idx="3">
                  <c:v>1191.0420180000001</c:v>
                </c:pt>
                <c:pt idx="4">
                  <c:v>1081.926291</c:v>
                </c:pt>
                <c:pt idx="5">
                  <c:v>1179.2988960000002</c:v>
                </c:pt>
                <c:pt idx="6">
                  <c:v>1419.4994640000002</c:v>
                </c:pt>
                <c:pt idx="7">
                  <c:v>1150.0203210000004</c:v>
                </c:pt>
                <c:pt idx="8">
                  <c:v>1123.1250810000001</c:v>
                </c:pt>
                <c:pt idx="9">
                  <c:v>1371.2176410000004</c:v>
                </c:pt>
                <c:pt idx="10">
                  <c:v>1185.3578239999997</c:v>
                </c:pt>
                <c:pt idx="11">
                  <c:v>1622.0844194000003</c:v>
                </c:pt>
                <c:pt idx="12">
                  <c:v>1043.11283884</c:v>
                </c:pt>
                <c:pt idx="13">
                  <c:v>1155.8160465999997</c:v>
                </c:pt>
                <c:pt idx="14">
                  <c:v>1547.2130502000002</c:v>
                </c:pt>
                <c:pt idx="15">
                  <c:v>1423.8409440000007</c:v>
                </c:pt>
                <c:pt idx="16">
                  <c:v>1463.9504219999997</c:v>
                </c:pt>
                <c:pt idx="17">
                  <c:v>1490.3739202000004</c:v>
                </c:pt>
                <c:pt idx="18">
                  <c:v>1441.8874188000004</c:v>
                </c:pt>
                <c:pt idx="19">
                  <c:v>1555.9678153999996</c:v>
                </c:pt>
                <c:pt idx="20">
                  <c:v>1557.1413114000009</c:v>
                </c:pt>
                <c:pt idx="21">
                  <c:v>1565.6807592</c:v>
                </c:pt>
                <c:pt idx="22">
                  <c:v>1668.4585887707271</c:v>
                </c:pt>
                <c:pt idx="23">
                  <c:v>2079.1468441906204</c:v>
                </c:pt>
                <c:pt idx="24">
                  <c:v>2007.9864194950001</c:v>
                </c:pt>
                <c:pt idx="25">
                  <c:v>1934.6966821628519</c:v>
                </c:pt>
                <c:pt idx="26">
                  <c:v>2555.2111899747879</c:v>
                </c:pt>
                <c:pt idx="27">
                  <c:v>2357.9288432149242</c:v>
                </c:pt>
                <c:pt idx="28">
                  <c:v>2351.7035013389864</c:v>
                </c:pt>
                <c:pt idx="29">
                  <c:v>2830.8837559318417</c:v>
                </c:pt>
                <c:pt idx="30">
                  <c:v>2748.7083567436471</c:v>
                </c:pt>
                <c:pt idx="31">
                  <c:v>2555.3707401559413</c:v>
                </c:pt>
                <c:pt idx="32">
                  <c:v>2923.6348683176125</c:v>
                </c:pt>
                <c:pt idx="33">
                  <c:v>2783.3260358199227</c:v>
                </c:pt>
                <c:pt idx="34">
                  <c:v>2994.6829153530748</c:v>
                </c:pt>
                <c:pt idx="35">
                  <c:v>2833.080774916647</c:v>
                </c:pt>
                <c:pt idx="36">
                  <c:v>3568.3732714067723</c:v>
                </c:pt>
                <c:pt idx="37">
                  <c:v>2966.1444184983989</c:v>
                </c:pt>
                <c:pt idx="38">
                  <c:v>3133.1644052839988</c:v>
                </c:pt>
                <c:pt idx="39">
                  <c:v>3393.7284961184673</c:v>
                </c:pt>
                <c:pt idx="40">
                  <c:v>3892.5153157496552</c:v>
                </c:pt>
                <c:pt idx="41">
                  <c:v>2986.3405107819012</c:v>
                </c:pt>
                <c:pt idx="42">
                  <c:v>2434.2336499671205</c:v>
                </c:pt>
                <c:pt idx="43">
                  <c:v>2805.9012709868398</c:v>
                </c:pt>
                <c:pt idx="44">
                  <c:v>2548.2849177900002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911744"/>
        <c:axId val="140913280"/>
      </c:lineChart>
      <c:catAx>
        <c:axId val="14091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913280"/>
        <c:crosses val="autoZero"/>
        <c:auto val="1"/>
        <c:lblAlgn val="ctr"/>
        <c:lblOffset val="100"/>
        <c:noMultiLvlLbl val="0"/>
      </c:catAx>
      <c:valAx>
        <c:axId val="140913280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4091174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640354330708659"/>
          <c:y val="0.13671296296296295"/>
          <c:w val="0.58158486439195101"/>
          <c:h val="8.3717191601049873E-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Relative effort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396413495835297"/>
          <c:y val="0.27436640904846721"/>
          <c:w val="0.73803032075003794"/>
          <c:h val="0.56646670611398064"/>
        </c:manualLayout>
      </c:layout>
      <c:lineChart>
        <c:grouping val="standard"/>
        <c:varyColors val="0"/>
        <c:ser>
          <c:idx val="0"/>
          <c:order val="0"/>
          <c:tx>
            <c:strRef>
              <c:f>Indices!$AH$6</c:f>
              <c:strCache>
                <c:ptCount val="1"/>
                <c:pt idx="0">
                  <c:v>NA</c:v>
                </c:pt>
              </c:strCache>
            </c:strRef>
          </c:tx>
          <c:marker>
            <c:symbol val="none"/>
          </c:marker>
          <c:cat>
            <c:numRef>
              <c:f>Indices!$AE$13:$AE$72</c:f>
              <c:numCache>
                <c:formatCode>General</c:formatCode>
                <c:ptCount val="60"/>
                <c:pt idx="0">
                  <c:v>1956</c:v>
                </c:pt>
                <c:pt idx="1">
                  <c:v>1957</c:v>
                </c:pt>
                <c:pt idx="2">
                  <c:v>1958</c:v>
                </c:pt>
                <c:pt idx="3">
                  <c:v>1959</c:v>
                </c:pt>
                <c:pt idx="4">
                  <c:v>1960</c:v>
                </c:pt>
                <c:pt idx="5">
                  <c:v>1961</c:v>
                </c:pt>
                <c:pt idx="6">
                  <c:v>1962</c:v>
                </c:pt>
                <c:pt idx="7">
                  <c:v>1963</c:v>
                </c:pt>
                <c:pt idx="8">
                  <c:v>1964</c:v>
                </c:pt>
                <c:pt idx="9">
                  <c:v>1965</c:v>
                </c:pt>
                <c:pt idx="10">
                  <c:v>1966</c:v>
                </c:pt>
                <c:pt idx="11">
                  <c:v>1967</c:v>
                </c:pt>
                <c:pt idx="12">
                  <c:v>1968</c:v>
                </c:pt>
                <c:pt idx="13">
                  <c:v>1969</c:v>
                </c:pt>
                <c:pt idx="14">
                  <c:v>1970</c:v>
                </c:pt>
                <c:pt idx="15">
                  <c:v>1971</c:v>
                </c:pt>
                <c:pt idx="16">
                  <c:v>1972</c:v>
                </c:pt>
                <c:pt idx="17">
                  <c:v>1973</c:v>
                </c:pt>
                <c:pt idx="18">
                  <c:v>1974</c:v>
                </c:pt>
                <c:pt idx="19">
                  <c:v>1975</c:v>
                </c:pt>
                <c:pt idx="20">
                  <c:v>1976</c:v>
                </c:pt>
                <c:pt idx="21">
                  <c:v>1977</c:v>
                </c:pt>
                <c:pt idx="22">
                  <c:v>1978</c:v>
                </c:pt>
                <c:pt idx="23">
                  <c:v>1979</c:v>
                </c:pt>
                <c:pt idx="24">
                  <c:v>1980</c:v>
                </c:pt>
                <c:pt idx="25">
                  <c:v>1981</c:v>
                </c:pt>
                <c:pt idx="26">
                  <c:v>1982</c:v>
                </c:pt>
                <c:pt idx="27">
                  <c:v>1983</c:v>
                </c:pt>
                <c:pt idx="28">
                  <c:v>1984</c:v>
                </c:pt>
                <c:pt idx="29">
                  <c:v>1985</c:v>
                </c:pt>
                <c:pt idx="30">
                  <c:v>1986</c:v>
                </c:pt>
                <c:pt idx="31">
                  <c:v>1987</c:v>
                </c:pt>
                <c:pt idx="32">
                  <c:v>1988</c:v>
                </c:pt>
                <c:pt idx="33">
                  <c:v>1989</c:v>
                </c:pt>
                <c:pt idx="34">
                  <c:v>1990</c:v>
                </c:pt>
                <c:pt idx="35">
                  <c:v>1991</c:v>
                </c:pt>
                <c:pt idx="36">
                  <c:v>1992</c:v>
                </c:pt>
                <c:pt idx="37">
                  <c:v>1993</c:v>
                </c:pt>
                <c:pt idx="38">
                  <c:v>1994</c:v>
                </c:pt>
                <c:pt idx="39">
                  <c:v>1995</c:v>
                </c:pt>
                <c:pt idx="40">
                  <c:v>1996</c:v>
                </c:pt>
                <c:pt idx="41">
                  <c:v>1997</c:v>
                </c:pt>
                <c:pt idx="42">
                  <c:v>1998</c:v>
                </c:pt>
                <c:pt idx="43">
                  <c:v>1999</c:v>
                </c:pt>
                <c:pt idx="44">
                  <c:v>2000</c:v>
                </c:pt>
                <c:pt idx="45">
                  <c:v>2001</c:v>
                </c:pt>
                <c:pt idx="46">
                  <c:v>2002</c:v>
                </c:pt>
                <c:pt idx="47">
                  <c:v>2003</c:v>
                </c:pt>
                <c:pt idx="48">
                  <c:v>2004</c:v>
                </c:pt>
                <c:pt idx="49">
                  <c:v>2005</c:v>
                </c:pt>
                <c:pt idx="50">
                  <c:v>2006</c:v>
                </c:pt>
                <c:pt idx="51">
                  <c:v>2007</c:v>
                </c:pt>
                <c:pt idx="52">
                  <c:v>2008</c:v>
                </c:pt>
                <c:pt idx="53">
                  <c:v>2009</c:v>
                </c:pt>
                <c:pt idx="54">
                  <c:v>2010</c:v>
                </c:pt>
                <c:pt idx="55">
                  <c:v>2011</c:v>
                </c:pt>
                <c:pt idx="56">
                  <c:v>2012</c:v>
                </c:pt>
                <c:pt idx="57">
                  <c:v>2013</c:v>
                </c:pt>
                <c:pt idx="58">
                  <c:v>2014</c:v>
                </c:pt>
                <c:pt idx="59">
                  <c:v>2015</c:v>
                </c:pt>
              </c:numCache>
            </c:numRef>
          </c:cat>
          <c:val>
            <c:numRef>
              <c:f>Indices!$AH$13:$AH$72</c:f>
              <c:numCache>
                <c:formatCode>0.0000</c:formatCode>
                <c:ptCount val="60"/>
                <c:pt idx="0">
                  <c:v>1.6926453103501679E-4</c:v>
                </c:pt>
                <c:pt idx="1">
                  <c:v>8.4698075219613086E-3</c:v>
                </c:pt>
                <c:pt idx="2">
                  <c:v>2.6239554760344987E-2</c:v>
                </c:pt>
                <c:pt idx="3">
                  <c:v>3.9282726037891659E-2</c:v>
                </c:pt>
                <c:pt idx="4">
                  <c:v>3.2115389450953685E-2</c:v>
                </c:pt>
                <c:pt idx="5">
                  <c:v>3.1357384166386539E-2</c:v>
                </c:pt>
                <c:pt idx="6">
                  <c:v>7.9327586174061951E-2</c:v>
                </c:pt>
                <c:pt idx="7">
                  <c:v>0.12794606700404959</c:v>
                </c:pt>
                <c:pt idx="8">
                  <c:v>0.19248502029218686</c:v>
                </c:pt>
                <c:pt idx="9">
                  <c:v>0.22534786907366045</c:v>
                </c:pt>
                <c:pt idx="10">
                  <c:v>0.13704843022418839</c:v>
                </c:pt>
                <c:pt idx="11">
                  <c:v>8.7542131866189074E-2</c:v>
                </c:pt>
                <c:pt idx="12">
                  <c:v>0.12284797208967016</c:v>
                </c:pt>
                <c:pt idx="13">
                  <c:v>0.12396543959850394</c:v>
                </c:pt>
                <c:pt idx="14">
                  <c:v>0.15560115430915242</c:v>
                </c:pt>
                <c:pt idx="15">
                  <c:v>0.2297808507812053</c:v>
                </c:pt>
                <c:pt idx="16">
                  <c:v>0.17816042588510994</c:v>
                </c:pt>
                <c:pt idx="17">
                  <c:v>0.28415583187621646</c:v>
                </c:pt>
                <c:pt idx="18">
                  <c:v>0.35824667725425502</c:v>
                </c:pt>
                <c:pt idx="19">
                  <c:v>0.51596735064106047</c:v>
                </c:pt>
                <c:pt idx="20">
                  <c:v>0.44769289300539405</c:v>
                </c:pt>
                <c:pt idx="21">
                  <c:v>0.45648614138204924</c:v>
                </c:pt>
                <c:pt idx="22">
                  <c:v>0.39711803237018073</c:v>
                </c:pt>
                <c:pt idx="23">
                  <c:v>0.38679170519893458</c:v>
                </c:pt>
                <c:pt idx="24">
                  <c:v>0.43078039115205624</c:v>
                </c:pt>
                <c:pt idx="25">
                  <c:v>0.48656753717895734</c:v>
                </c:pt>
                <c:pt idx="26">
                  <c:v>0.607477076215312</c:v>
                </c:pt>
                <c:pt idx="27">
                  <c:v>0.55233147606923494</c:v>
                </c:pt>
                <c:pt idx="28">
                  <c:v>0.65394487175133287</c:v>
                </c:pt>
                <c:pt idx="29">
                  <c:v>0.74805316301460467</c:v>
                </c:pt>
                <c:pt idx="30">
                  <c:v>0.86199341695300724</c:v>
                </c:pt>
                <c:pt idx="31">
                  <c:v>0.38024619503389578</c:v>
                </c:pt>
                <c:pt idx="32">
                  <c:v>0.79427506860641262</c:v>
                </c:pt>
                <c:pt idx="33">
                  <c:v>0.74128911685900423</c:v>
                </c:pt>
                <c:pt idx="34">
                  <c:v>0.62243048938566869</c:v>
                </c:pt>
                <c:pt idx="35">
                  <c:v>0.65631905009044167</c:v>
                </c:pt>
                <c:pt idx="36">
                  <c:v>0.70790011602840552</c:v>
                </c:pt>
                <c:pt idx="37">
                  <c:v>0.72218503486460806</c:v>
                </c:pt>
                <c:pt idx="38">
                  <c:v>0.9013753215266177</c:v>
                </c:pt>
                <c:pt idx="39">
                  <c:v>1</c:v>
                </c:pt>
                <c:pt idx="40">
                  <c:v>0.90617718513835477</c:v>
                </c:pt>
                <c:pt idx="41">
                  <c:v>0.73669262687855241</c:v>
                </c:pt>
                <c:pt idx="42">
                  <c:v>0.74519924933422055</c:v>
                </c:pt>
                <c:pt idx="43">
                  <c:v>0.73442729266157269</c:v>
                </c:pt>
                <c:pt idx="44">
                  <c:v>0.72716844440130679</c:v>
                </c:pt>
                <c:pt idx="45">
                  <c:v>0.64845058726824556</c:v>
                </c:pt>
                <c:pt idx="46">
                  <c:v>0.76862159079363734</c:v>
                </c:pt>
                <c:pt idx="47">
                  <c:v>0.81438132418961096</c:v>
                </c:pt>
                <c:pt idx="48">
                  <c:v>0.97922335481426503</c:v>
                </c:pt>
                <c:pt idx="49">
                  <c:v>0.70091956841126901</c:v>
                </c:pt>
                <c:pt idx="50">
                  <c:v>0.71576576360006028</c:v>
                </c:pt>
                <c:pt idx="51">
                  <c:v>0.81441479789130733</c:v>
                </c:pt>
                <c:pt idx="52">
                  <c:v>0.72781913197002568</c:v>
                </c:pt>
                <c:pt idx="53">
                  <c:v>0.80134456629818474</c:v>
                </c:pt>
                <c:pt idx="54">
                  <c:v>0.74632884035371938</c:v>
                </c:pt>
                <c:pt idx="55">
                  <c:v>0.70597244797925707</c:v>
                </c:pt>
                <c:pt idx="56">
                  <c:v>0.75772366915107281</c:v>
                </c:pt>
                <c:pt idx="57">
                  <c:v>0.66484723665646173</c:v>
                </c:pt>
                <c:pt idx="58">
                  <c:v>0.45259293134510381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Indices!$AI$6</c:f>
              <c:strCache>
                <c:ptCount val="1"/>
                <c:pt idx="0">
                  <c:v>SA</c:v>
                </c:pt>
              </c:strCache>
            </c:strRef>
          </c:tx>
          <c:marker>
            <c:symbol val="none"/>
          </c:marker>
          <c:cat>
            <c:numRef>
              <c:f>Indices!$AE$13:$AE$72</c:f>
              <c:numCache>
                <c:formatCode>General</c:formatCode>
                <c:ptCount val="60"/>
                <c:pt idx="0">
                  <c:v>1956</c:v>
                </c:pt>
                <c:pt idx="1">
                  <c:v>1957</c:v>
                </c:pt>
                <c:pt idx="2">
                  <c:v>1958</c:v>
                </c:pt>
                <c:pt idx="3">
                  <c:v>1959</c:v>
                </c:pt>
                <c:pt idx="4">
                  <c:v>1960</c:v>
                </c:pt>
                <c:pt idx="5">
                  <c:v>1961</c:v>
                </c:pt>
                <c:pt idx="6">
                  <c:v>1962</c:v>
                </c:pt>
                <c:pt idx="7">
                  <c:v>1963</c:v>
                </c:pt>
                <c:pt idx="8">
                  <c:v>1964</c:v>
                </c:pt>
                <c:pt idx="9">
                  <c:v>1965</c:v>
                </c:pt>
                <c:pt idx="10">
                  <c:v>1966</c:v>
                </c:pt>
                <c:pt idx="11">
                  <c:v>1967</c:v>
                </c:pt>
                <c:pt idx="12">
                  <c:v>1968</c:v>
                </c:pt>
                <c:pt idx="13">
                  <c:v>1969</c:v>
                </c:pt>
                <c:pt idx="14">
                  <c:v>1970</c:v>
                </c:pt>
                <c:pt idx="15">
                  <c:v>1971</c:v>
                </c:pt>
                <c:pt idx="16">
                  <c:v>1972</c:v>
                </c:pt>
                <c:pt idx="17">
                  <c:v>1973</c:v>
                </c:pt>
                <c:pt idx="18">
                  <c:v>1974</c:v>
                </c:pt>
                <c:pt idx="19">
                  <c:v>1975</c:v>
                </c:pt>
                <c:pt idx="20">
                  <c:v>1976</c:v>
                </c:pt>
                <c:pt idx="21">
                  <c:v>1977</c:v>
                </c:pt>
                <c:pt idx="22">
                  <c:v>1978</c:v>
                </c:pt>
                <c:pt idx="23">
                  <c:v>1979</c:v>
                </c:pt>
                <c:pt idx="24">
                  <c:v>1980</c:v>
                </c:pt>
                <c:pt idx="25">
                  <c:v>1981</c:v>
                </c:pt>
                <c:pt idx="26">
                  <c:v>1982</c:v>
                </c:pt>
                <c:pt idx="27">
                  <c:v>1983</c:v>
                </c:pt>
                <c:pt idx="28">
                  <c:v>1984</c:v>
                </c:pt>
                <c:pt idx="29">
                  <c:v>1985</c:v>
                </c:pt>
                <c:pt idx="30">
                  <c:v>1986</c:v>
                </c:pt>
                <c:pt idx="31">
                  <c:v>1987</c:v>
                </c:pt>
                <c:pt idx="32">
                  <c:v>1988</c:v>
                </c:pt>
                <c:pt idx="33">
                  <c:v>1989</c:v>
                </c:pt>
                <c:pt idx="34">
                  <c:v>1990</c:v>
                </c:pt>
                <c:pt idx="35">
                  <c:v>1991</c:v>
                </c:pt>
                <c:pt idx="36">
                  <c:v>1992</c:v>
                </c:pt>
                <c:pt idx="37">
                  <c:v>1993</c:v>
                </c:pt>
                <c:pt idx="38">
                  <c:v>1994</c:v>
                </c:pt>
                <c:pt idx="39">
                  <c:v>1995</c:v>
                </c:pt>
                <c:pt idx="40">
                  <c:v>1996</c:v>
                </c:pt>
                <c:pt idx="41">
                  <c:v>1997</c:v>
                </c:pt>
                <c:pt idx="42">
                  <c:v>1998</c:v>
                </c:pt>
                <c:pt idx="43">
                  <c:v>1999</c:v>
                </c:pt>
                <c:pt idx="44">
                  <c:v>2000</c:v>
                </c:pt>
                <c:pt idx="45">
                  <c:v>2001</c:v>
                </c:pt>
                <c:pt idx="46">
                  <c:v>2002</c:v>
                </c:pt>
                <c:pt idx="47">
                  <c:v>2003</c:v>
                </c:pt>
                <c:pt idx="48">
                  <c:v>2004</c:v>
                </c:pt>
                <c:pt idx="49">
                  <c:v>2005</c:v>
                </c:pt>
                <c:pt idx="50">
                  <c:v>2006</c:v>
                </c:pt>
                <c:pt idx="51">
                  <c:v>2007</c:v>
                </c:pt>
                <c:pt idx="52">
                  <c:v>2008</c:v>
                </c:pt>
                <c:pt idx="53">
                  <c:v>2009</c:v>
                </c:pt>
                <c:pt idx="54">
                  <c:v>2010</c:v>
                </c:pt>
                <c:pt idx="55">
                  <c:v>2011</c:v>
                </c:pt>
                <c:pt idx="56">
                  <c:v>2012</c:v>
                </c:pt>
                <c:pt idx="57">
                  <c:v>2013</c:v>
                </c:pt>
                <c:pt idx="58">
                  <c:v>2014</c:v>
                </c:pt>
                <c:pt idx="59">
                  <c:v>2015</c:v>
                </c:pt>
              </c:numCache>
            </c:numRef>
          </c:cat>
          <c:val>
            <c:numRef>
              <c:f>Indices!$AI$13:$AI$72</c:f>
              <c:numCache>
                <c:formatCode>0.0000</c:formatCode>
                <c:ptCount val="60"/>
                <c:pt idx="0">
                  <c:v>4.4348016337735998E-4</c:v>
                </c:pt>
                <c:pt idx="1">
                  <c:v>1.5100099458003911E-2</c:v>
                </c:pt>
                <c:pt idx="2">
                  <c:v>2.1313796837023519E-2</c:v>
                </c:pt>
                <c:pt idx="3">
                  <c:v>4.7663329520868811E-2</c:v>
                </c:pt>
                <c:pt idx="4">
                  <c:v>5.415392330252268E-2</c:v>
                </c:pt>
                <c:pt idx="5">
                  <c:v>0.10152555965322148</c:v>
                </c:pt>
                <c:pt idx="6">
                  <c:v>0.18135076455440982</c:v>
                </c:pt>
                <c:pt idx="7">
                  <c:v>0.18720357374524757</c:v>
                </c:pt>
                <c:pt idx="8">
                  <c:v>0.1800953330718213</c:v>
                </c:pt>
                <c:pt idx="9">
                  <c:v>0.22368995267215863</c:v>
                </c:pt>
                <c:pt idx="10">
                  <c:v>0.17043805628300743</c:v>
                </c:pt>
                <c:pt idx="11">
                  <c:v>0.13305043559270199</c:v>
                </c:pt>
                <c:pt idx="12">
                  <c:v>0.20909463028466749</c:v>
                </c:pt>
                <c:pt idx="13">
                  <c:v>0.33523516989370339</c:v>
                </c:pt>
                <c:pt idx="14">
                  <c:v>0.21742479619881389</c:v>
                </c:pt>
                <c:pt idx="15">
                  <c:v>0.24252052408607411</c:v>
                </c:pt>
                <c:pt idx="16">
                  <c:v>0.29033843044755425</c:v>
                </c:pt>
                <c:pt idx="17">
                  <c:v>0.37103688099379512</c:v>
                </c:pt>
                <c:pt idx="18">
                  <c:v>0.35251995412407444</c:v>
                </c:pt>
                <c:pt idx="19">
                  <c:v>0.37052219392523456</c:v>
                </c:pt>
                <c:pt idx="20">
                  <c:v>0.357371588544804</c:v>
                </c:pt>
                <c:pt idx="21">
                  <c:v>0.44692787887228475</c:v>
                </c:pt>
                <c:pt idx="22">
                  <c:v>0.39623159835117727</c:v>
                </c:pt>
                <c:pt idx="23">
                  <c:v>0.438203623822077</c:v>
                </c:pt>
                <c:pt idx="24">
                  <c:v>0.49776929894486804</c:v>
                </c:pt>
                <c:pt idx="25">
                  <c:v>0.51206392205313989</c:v>
                </c:pt>
                <c:pt idx="26">
                  <c:v>0.63799783110693231</c:v>
                </c:pt>
                <c:pt idx="27">
                  <c:v>0.42462062896146413</c:v>
                </c:pt>
                <c:pt idx="28">
                  <c:v>0.44970256583955687</c:v>
                </c:pt>
                <c:pt idx="29">
                  <c:v>0.59228549397587804</c:v>
                </c:pt>
                <c:pt idx="30">
                  <c:v>0.63439645095206065</c:v>
                </c:pt>
                <c:pt idx="31">
                  <c:v>0.63232947342973789</c:v>
                </c:pt>
                <c:pt idx="32">
                  <c:v>0.65936270635227545</c:v>
                </c:pt>
                <c:pt idx="33">
                  <c:v>0.71436883627817072</c:v>
                </c:pt>
                <c:pt idx="34">
                  <c:v>0.85824726520352224</c:v>
                </c:pt>
                <c:pt idx="35">
                  <c:v>0.83508552145875026</c:v>
                </c:pt>
                <c:pt idx="36">
                  <c:v>0.8473236070573803</c:v>
                </c:pt>
                <c:pt idx="37">
                  <c:v>0.89249771857969851</c:v>
                </c:pt>
                <c:pt idx="38">
                  <c:v>1</c:v>
                </c:pt>
                <c:pt idx="39">
                  <c:v>0.97691867017292777</c:v>
                </c:pt>
                <c:pt idx="40">
                  <c:v>0.96662381082194704</c:v>
                </c:pt>
                <c:pt idx="41">
                  <c:v>0.89411317965270287</c:v>
                </c:pt>
                <c:pt idx="42">
                  <c:v>0.71744086723869605</c:v>
                </c:pt>
                <c:pt idx="43">
                  <c:v>0.85192764753045758</c:v>
                </c:pt>
                <c:pt idx="44">
                  <c:v>0.94695932784634573</c:v>
                </c:pt>
                <c:pt idx="45">
                  <c:v>0.95472476018247121</c:v>
                </c:pt>
                <c:pt idx="46">
                  <c:v>0.84755596919375031</c:v>
                </c:pt>
                <c:pt idx="47">
                  <c:v>0.94649246014659805</c:v>
                </c:pt>
                <c:pt idx="48">
                  <c:v>0.89603992787226072</c:v>
                </c:pt>
                <c:pt idx="49">
                  <c:v>0.73423533729698687</c:v>
                </c:pt>
                <c:pt idx="50">
                  <c:v>0.75339328573227449</c:v>
                </c:pt>
                <c:pt idx="51">
                  <c:v>0.86271875281957289</c:v>
                </c:pt>
                <c:pt idx="52">
                  <c:v>0.77662764961249198</c:v>
                </c:pt>
                <c:pt idx="53">
                  <c:v>0.80883458236102168</c:v>
                </c:pt>
                <c:pt idx="54">
                  <c:v>0.76569918013575067</c:v>
                </c:pt>
                <c:pt idx="55">
                  <c:v>0.80295597068451274</c:v>
                </c:pt>
                <c:pt idx="56">
                  <c:v>0.66154179789833623</c:v>
                </c:pt>
                <c:pt idx="57">
                  <c:v>0.58601726364083118</c:v>
                </c:pt>
                <c:pt idx="58">
                  <c:v>0.54227324432015955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49280"/>
        <c:axId val="146440192"/>
      </c:lineChart>
      <c:catAx>
        <c:axId val="14604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440192"/>
        <c:crosses val="autoZero"/>
        <c:auto val="1"/>
        <c:lblAlgn val="ctr"/>
        <c:lblOffset val="100"/>
        <c:noMultiLvlLbl val="0"/>
      </c:catAx>
      <c:valAx>
        <c:axId val="146440192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4604928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7398767035771796"/>
          <c:y val="0.15375372466884688"/>
          <c:w val="0.20789748948923426"/>
          <c:h val="8.534709968589407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Shortfin mako CPUE indices (North)</a:t>
            </a:r>
          </a:p>
        </c:rich>
      </c:tx>
      <c:layout>
        <c:manualLayout>
          <c:xMode val="edge"/>
          <c:yMode val="edge"/>
          <c:x val="0.35520864984922934"/>
          <c:y val="1.60350598377037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875073115105298E-2"/>
          <c:y val="0.13965948408187701"/>
          <c:w val="0.77010805580405473"/>
          <c:h val="0.67435659583647922"/>
        </c:manualLayout>
      </c:layout>
      <c:scatterChart>
        <c:scatterStyle val="lineMarker"/>
        <c:varyColors val="0"/>
        <c:ser>
          <c:idx val="4"/>
          <c:order val="0"/>
          <c:tx>
            <c:strRef>
              <c:f>Indices!$B$55</c:f>
              <c:strCache>
                <c:ptCount val="1"/>
                <c:pt idx="0">
                  <c:v>US-Log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Indices!$A$121:$A$150</c:f>
              <c:numCache>
                <c:formatCode>General</c:formatCode>
                <c:ptCount val="30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</c:numCache>
            </c:numRef>
          </c:xVal>
          <c:yVal>
            <c:numRef>
              <c:f>Indices!$B$121:$B$150</c:f>
              <c:numCache>
                <c:formatCode>0.00</c:formatCode>
                <c:ptCount val="30"/>
                <c:pt idx="0">
                  <c:v>1.7870259138493221</c:v>
                </c:pt>
                <c:pt idx="1">
                  <c:v>1.7962931182426634</c:v>
                </c:pt>
                <c:pt idx="2">
                  <c:v>1.4163377381156683</c:v>
                </c:pt>
                <c:pt idx="3">
                  <c:v>1.6418397116869743</c:v>
                </c:pt>
                <c:pt idx="4">
                  <c:v>1.2865968766088896</c:v>
                </c:pt>
                <c:pt idx="5">
                  <c:v>1.1429552085120989</c:v>
                </c:pt>
                <c:pt idx="6">
                  <c:v>1.3530118414278358</c:v>
                </c:pt>
                <c:pt idx="7">
                  <c:v>1.1846576282821348</c:v>
                </c:pt>
                <c:pt idx="8">
                  <c:v>1.1136090612665177</c:v>
                </c:pt>
                <c:pt idx="9">
                  <c:v>1.0719066414964817</c:v>
                </c:pt>
                <c:pt idx="10">
                  <c:v>0.95452205251415811</c:v>
                </c:pt>
                <c:pt idx="11">
                  <c:v>0.87883988330187046</c:v>
                </c:pt>
                <c:pt idx="12">
                  <c:v>0.83095932726960697</c:v>
                </c:pt>
                <c:pt idx="13">
                  <c:v>0.81242491848292431</c:v>
                </c:pt>
                <c:pt idx="14">
                  <c:v>0.86030547451518791</c:v>
                </c:pt>
                <c:pt idx="15">
                  <c:v>0.78307877123734337</c:v>
                </c:pt>
                <c:pt idx="16">
                  <c:v>0.8216921228762657</c:v>
                </c:pt>
                <c:pt idx="17">
                  <c:v>0.88501801956409798</c:v>
                </c:pt>
                <c:pt idx="18">
                  <c:v>1.0441050283164579</c:v>
                </c:pt>
                <c:pt idx="19">
                  <c:v>1.0502831645786854</c:v>
                </c:pt>
                <c:pt idx="20">
                  <c:v>0.81705852067959495</c:v>
                </c:pt>
                <c:pt idx="21">
                  <c:v>1.2402608546421829</c:v>
                </c:pt>
                <c:pt idx="22">
                  <c:v>1.042560494250901</c:v>
                </c:pt>
                <c:pt idx="23">
                  <c:v>1.3313883645100393</c:v>
                </c:pt>
                <c:pt idx="24">
                  <c:v>1.1645786854298952</c:v>
                </c:pt>
                <c:pt idx="25">
                  <c:v>1.0873519821520508</c:v>
                </c:pt>
                <c:pt idx="26">
                  <c:v>0.79234597563068465</c:v>
                </c:pt>
                <c:pt idx="27">
                  <c:v>0.83868199759739148</c:v>
                </c:pt>
                <c:pt idx="28">
                  <c:v>0.75527715805731932</c:v>
                </c:pt>
                <c:pt idx="29">
                  <c:v>0.74755448772953481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Indices!$C$105</c:f>
              <c:strCache>
                <c:ptCount val="1"/>
                <c:pt idx="0">
                  <c:v>US-Obs</c:v>
                </c:pt>
              </c:strCache>
            </c:strRef>
          </c:tx>
          <c:spPr>
            <a:ln w="25400">
              <a:solidFill>
                <a:srgbClr val="C50BA2"/>
              </a:solidFill>
            </a:ln>
          </c:spPr>
          <c:marker>
            <c:symbol val="none"/>
          </c:marker>
          <c:xVal>
            <c:numRef>
              <c:f>Indices!$A$121:$A$150</c:f>
              <c:numCache>
                <c:formatCode>General</c:formatCode>
                <c:ptCount val="30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</c:numCache>
            </c:numRef>
          </c:xVal>
          <c:yVal>
            <c:numRef>
              <c:f>Indices!$C$121:$C$150</c:f>
              <c:numCache>
                <c:formatCode>0.00</c:formatCode>
                <c:ptCount val="30"/>
                <c:pt idx="6">
                  <c:v>1.2118918918918919</c:v>
                </c:pt>
                <c:pt idx="7">
                  <c:v>0.92648648648648657</c:v>
                </c:pt>
                <c:pt idx="8">
                  <c:v>0.62270270270270267</c:v>
                </c:pt>
                <c:pt idx="9">
                  <c:v>0.96216216216216222</c:v>
                </c:pt>
                <c:pt idx="10">
                  <c:v>0.55243243243243245</c:v>
                </c:pt>
                <c:pt idx="11">
                  <c:v>0.72216216216216222</c:v>
                </c:pt>
                <c:pt idx="12">
                  <c:v>0.53297297297297297</c:v>
                </c:pt>
                <c:pt idx="13">
                  <c:v>0.57405405405405407</c:v>
                </c:pt>
                <c:pt idx="14">
                  <c:v>0.87243243243243251</c:v>
                </c:pt>
                <c:pt idx="15">
                  <c:v>0.72864864864864876</c:v>
                </c:pt>
                <c:pt idx="16">
                  <c:v>0.88108108108108107</c:v>
                </c:pt>
                <c:pt idx="17">
                  <c:v>0.73297297297297304</c:v>
                </c:pt>
                <c:pt idx="18">
                  <c:v>1.0767567567567569</c:v>
                </c:pt>
                <c:pt idx="19">
                  <c:v>0.76864864864864868</c:v>
                </c:pt>
                <c:pt idx="20">
                  <c:v>0.83243243243243248</c:v>
                </c:pt>
                <c:pt idx="21">
                  <c:v>0.94054054054054059</c:v>
                </c:pt>
                <c:pt idx="22">
                  <c:v>0.68972972972972979</c:v>
                </c:pt>
                <c:pt idx="23">
                  <c:v>1.4594594594594597</c:v>
                </c:pt>
                <c:pt idx="24">
                  <c:v>0.95459459459459473</c:v>
                </c:pt>
                <c:pt idx="25">
                  <c:v>1.3632432432432433</c:v>
                </c:pt>
                <c:pt idx="26">
                  <c:v>1.1945945945945946</c:v>
                </c:pt>
                <c:pt idx="27">
                  <c:v>0.84000000000000008</c:v>
                </c:pt>
                <c:pt idx="28">
                  <c:v>0.87675675675675691</c:v>
                </c:pt>
                <c:pt idx="29">
                  <c:v>0.68108108108108112</c:v>
                </c:pt>
              </c:numCache>
            </c:numRef>
          </c:yVal>
          <c:smooth val="0"/>
        </c:ser>
        <c:ser>
          <c:idx val="7"/>
          <c:order val="2"/>
          <c:tx>
            <c:strRef>
              <c:f>Indices!$D$55</c:f>
              <c:strCache>
                <c:ptCount val="1"/>
                <c:pt idx="0">
                  <c:v>JPLL-N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Indices!$A$121:$A$150</c:f>
              <c:numCache>
                <c:formatCode>General</c:formatCode>
                <c:ptCount val="30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</c:numCache>
            </c:numRef>
          </c:xVal>
          <c:yVal>
            <c:numRef>
              <c:f>Indices!$D$121:$D$150</c:f>
              <c:numCache>
                <c:formatCode>0.00</c:formatCode>
                <c:ptCount val="30"/>
                <c:pt idx="8">
                  <c:v>1.1829845171625637</c:v>
                </c:pt>
                <c:pt idx="9">
                  <c:v>0.71647768587488225</c:v>
                </c:pt>
                <c:pt idx="10">
                  <c:v>0.7378043678915015</c:v>
                </c:pt>
                <c:pt idx="11">
                  <c:v>0.74382802972673956</c:v>
                </c:pt>
                <c:pt idx="12">
                  <c:v>0.60788423217568277</c:v>
                </c:pt>
                <c:pt idx="13">
                  <c:v>0.52424291981081506</c:v>
                </c:pt>
                <c:pt idx="14">
                  <c:v>0.53428621018405376</c:v>
                </c:pt>
                <c:pt idx="15">
                  <c:v>0.76489857181813814</c:v>
                </c:pt>
                <c:pt idx="16">
                  <c:v>0.77914684381994725</c:v>
                </c:pt>
                <c:pt idx="17">
                  <c:v>0.69812826930130845</c:v>
                </c:pt>
                <c:pt idx="18">
                  <c:v>0.65308019677448981</c:v>
                </c:pt>
                <c:pt idx="19">
                  <c:v>0.63374608094792551</c:v>
                </c:pt>
                <c:pt idx="20">
                  <c:v>0.88184880327430037</c:v>
                </c:pt>
                <c:pt idx="21">
                  <c:v>0.89962705085212991</c:v>
                </c:pt>
                <c:pt idx="22">
                  <c:v>1.3857567377751956</c:v>
                </c:pt>
                <c:pt idx="23">
                  <c:v>1.3298928467094677</c:v>
                </c:pt>
                <c:pt idx="24">
                  <c:v>1.4350514427942906</c:v>
                </c:pt>
                <c:pt idx="25">
                  <c:v>0.9313148482062007</c:v>
                </c:pt>
                <c:pt idx="26">
                  <c:v>0.75540768876813302</c:v>
                </c:pt>
                <c:pt idx="27">
                  <c:v>0.55483178850653558</c:v>
                </c:pt>
                <c:pt idx="28">
                  <c:v>1.1036112354058265</c:v>
                </c:pt>
                <c:pt idx="29">
                  <c:v>0.60450636098222055</c:v>
                </c:pt>
              </c:numCache>
            </c:numRef>
          </c:yVal>
          <c:smooth val="0"/>
        </c:ser>
        <c:ser>
          <c:idx val="1"/>
          <c:order val="3"/>
          <c:tx>
            <c:strRef>
              <c:f>Indices!$E$55</c:f>
              <c:strCache>
                <c:ptCount val="1"/>
                <c:pt idx="0">
                  <c:v>POR-LL-N</c:v>
                </c:pt>
              </c:strCache>
            </c:strRef>
          </c:tx>
          <c:spPr>
            <a:ln w="25400">
              <a:solidFill>
                <a:srgbClr val="00CCFF"/>
              </a:solidFill>
              <a:prstDash val="solid"/>
            </a:ln>
          </c:spPr>
          <c:marker>
            <c:symbol val="none"/>
          </c:marker>
          <c:xVal>
            <c:numRef>
              <c:f>Indices!$A$121:$A$150</c:f>
              <c:numCache>
                <c:formatCode>General</c:formatCode>
                <c:ptCount val="30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</c:numCache>
            </c:numRef>
          </c:xVal>
          <c:yVal>
            <c:numRef>
              <c:f>Indices!$E$121:$E$150</c:f>
              <c:numCache>
                <c:formatCode>0.00</c:formatCode>
                <c:ptCount val="30"/>
                <c:pt idx="13">
                  <c:v>0.5901958316629381</c:v>
                </c:pt>
                <c:pt idx="14">
                  <c:v>0.72367863133453814</c:v>
                </c:pt>
                <c:pt idx="15">
                  <c:v>0.85265952356886543</c:v>
                </c:pt>
                <c:pt idx="16">
                  <c:v>0.99548965456076688</c:v>
                </c:pt>
                <c:pt idx="17">
                  <c:v>1.1417307131960834</c:v>
                </c:pt>
                <c:pt idx="18">
                  <c:v>0.91625110703892731</c:v>
                </c:pt>
                <c:pt idx="19">
                  <c:v>1.002977860657708</c:v>
                </c:pt>
                <c:pt idx="20">
                  <c:v>1.7528047828749493</c:v>
                </c:pt>
                <c:pt idx="21">
                  <c:v>1.547805284666768</c:v>
                </c:pt>
                <c:pt idx="22">
                  <c:v>0.91077423335815055</c:v>
                </c:pt>
                <c:pt idx="23">
                  <c:v>1.4618424754297052</c:v>
                </c:pt>
                <c:pt idx="24">
                  <c:v>1.195539995321397</c:v>
                </c:pt>
                <c:pt idx="25">
                  <c:v>0.77551018942596273</c:v>
                </c:pt>
                <c:pt idx="26">
                  <c:v>0.93438767663924793</c:v>
                </c:pt>
                <c:pt idx="27">
                  <c:v>0.91848024762483693</c:v>
                </c:pt>
                <c:pt idx="28">
                  <c:v>0.91067890188919676</c:v>
                </c:pt>
                <c:pt idx="29">
                  <c:v>0.34498099564473422</c:v>
                </c:pt>
              </c:numCache>
            </c:numRef>
          </c:yVal>
          <c:smooth val="0"/>
        </c:ser>
        <c:ser>
          <c:idx val="5"/>
          <c:order val="4"/>
          <c:tx>
            <c:strRef>
              <c:f>Indices!$G$55</c:f>
              <c:strCache>
                <c:ptCount val="1"/>
                <c:pt idx="0">
                  <c:v>CH-TA-LLN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Indices!$A$121:$A$150</c:f>
              <c:numCache>
                <c:formatCode>General</c:formatCode>
                <c:ptCount val="30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</c:numCache>
            </c:numRef>
          </c:xVal>
          <c:yVal>
            <c:numRef>
              <c:f>Indices!$G$121:$G$150</c:f>
              <c:numCache>
                <c:formatCode>0.00</c:formatCode>
                <c:ptCount val="30"/>
                <c:pt idx="21">
                  <c:v>0.19766355140186917</c:v>
                </c:pt>
                <c:pt idx="22">
                  <c:v>0.78644859813084111</c:v>
                </c:pt>
                <c:pt idx="23">
                  <c:v>2.802336448598131</c:v>
                </c:pt>
                <c:pt idx="24">
                  <c:v>0.39813084112149538</c:v>
                </c:pt>
                <c:pt idx="25">
                  <c:v>1.4425233644859814</c:v>
                </c:pt>
                <c:pt idx="26">
                  <c:v>1.2266355140186915</c:v>
                </c:pt>
                <c:pt idx="27">
                  <c:v>0.45841121495327103</c:v>
                </c:pt>
                <c:pt idx="28">
                  <c:v>1.2967289719626169</c:v>
                </c:pt>
                <c:pt idx="29">
                  <c:v>0.39112149532710283</c:v>
                </c:pt>
              </c:numCache>
            </c:numRef>
          </c:yVal>
          <c:smooth val="0"/>
        </c:ser>
        <c:ser>
          <c:idx val="2"/>
          <c:order val="5"/>
          <c:tx>
            <c:strRef>
              <c:f>Indices!$F$105</c:f>
              <c:strCache>
                <c:ptCount val="1"/>
                <c:pt idx="0">
                  <c:v>ESP-LL-N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Indices!$A$106:$A$150</c:f>
              <c:numCache>
                <c:formatCode>General</c:formatCode>
                <c:ptCount val="4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</c:numCache>
            </c:numRef>
          </c:xVal>
          <c:yVal>
            <c:numRef>
              <c:f>Indices!$F$106:$F$150</c:f>
              <c:numCache>
                <c:formatCode>0.0</c:formatCode>
                <c:ptCount val="45"/>
                <c:pt idx="19" formatCode="0.00">
                  <c:v>0.74987834549878341</c:v>
                </c:pt>
                <c:pt idx="20" formatCode="0.00">
                  <c:v>0.68974626346889112</c:v>
                </c:pt>
                <c:pt idx="21" formatCode="0.00">
                  <c:v>0.79575947167188044</c:v>
                </c:pt>
                <c:pt idx="22" formatCode="0.00">
                  <c:v>0.75662148070907187</c:v>
                </c:pt>
                <c:pt idx="23" formatCode="0.00">
                  <c:v>0.69336114007646843</c:v>
                </c:pt>
                <c:pt idx="24" formatCode="0.00">
                  <c:v>0.6025721237400069</c:v>
                </c:pt>
                <c:pt idx="25" formatCode="0.00">
                  <c:v>0.75801181786583238</c:v>
                </c:pt>
                <c:pt idx="26" formatCode="0.00">
                  <c:v>0.45707334028501906</c:v>
                </c:pt>
                <c:pt idx="27" formatCode="0.00">
                  <c:v>0.52415710809871385</c:v>
                </c:pt>
                <c:pt idx="28" formatCode="0.00">
                  <c:v>0.47062912756343411</c:v>
                </c:pt>
                <c:pt idx="29" formatCode="0.00">
                  <c:v>0.52902328814737576</c:v>
                </c:pt>
                <c:pt idx="30" formatCode="0.00">
                  <c:v>0.61181786583246434</c:v>
                </c:pt>
                <c:pt idx="31" formatCode="0.00">
                  <c:v>0.8429614181438998</c:v>
                </c:pt>
                <c:pt idx="32" formatCode="0.00">
                  <c:v>0.99520333680917616</c:v>
                </c:pt>
                <c:pt idx="33" formatCode="0.00">
                  <c:v>1.0256517205422315</c:v>
                </c:pt>
                <c:pt idx="34" formatCode="0.00">
                  <c:v>0.96190476190476182</c:v>
                </c:pt>
                <c:pt idx="35" formatCode="0.00">
                  <c:v>0.8929440389294403</c:v>
                </c:pt>
                <c:pt idx="36" formatCode="0.00">
                  <c:v>1.1434132777198469</c:v>
                </c:pt>
                <c:pt idx="37" formatCode="0.00">
                  <c:v>1.2129301355578725</c:v>
                </c:pt>
                <c:pt idx="38" formatCode="0.00">
                  <c:v>1.1701077511296489</c:v>
                </c:pt>
                <c:pt idx="39" formatCode="0.00">
                  <c:v>1.0849496002780674</c:v>
                </c:pt>
                <c:pt idx="40" formatCode="0.00">
                  <c:v>0.88793882516510259</c:v>
                </c:pt>
                <c:pt idx="41" formatCode="0.00">
                  <c:v>1.065067778936392</c:v>
                </c:pt>
                <c:pt idx="42" formatCode="0.00">
                  <c:v>0.80437956204379557</c:v>
                </c:pt>
                <c:pt idx="43" formatCode="0.00">
                  <c:v>0.76176572818908583</c:v>
                </c:pt>
                <c:pt idx="44" formatCode="0.00">
                  <c:v>0.86944734098018761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84608"/>
        <c:axId val="146650624"/>
      </c:scatterChart>
      <c:valAx>
        <c:axId val="146484608"/>
        <c:scaling>
          <c:orientation val="minMax"/>
          <c:max val="2016"/>
          <c:min val="1986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0"/>
                  <a:t>Year</a:t>
                </a:r>
              </a:p>
            </c:rich>
          </c:tx>
          <c:layout>
            <c:manualLayout>
              <c:xMode val="edge"/>
              <c:yMode val="edge"/>
              <c:x val="0.44479213309168075"/>
              <c:y val="0.897574187591371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650624"/>
        <c:crosses val="autoZero"/>
        <c:crossBetween val="midCat"/>
        <c:majorUnit val="2"/>
        <c:minorUnit val="1"/>
      </c:valAx>
      <c:valAx>
        <c:axId val="146650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0"/>
                  <a:t>Relative index</a:t>
                </a:r>
              </a:p>
            </c:rich>
          </c:tx>
          <c:layout>
            <c:manualLayout>
              <c:xMode val="edge"/>
              <c:yMode val="edge"/>
              <c:x val="9.9732262382864791E-3"/>
              <c:y val="0.369272190032849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48460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15847113451349734"/>
          <c:y val="7.0251572327044029E-2"/>
          <c:w val="0.63641640794486409"/>
          <c:h val="3.577196718334736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89" r="0.75000000000000189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Shortfin mako CPUE indices (South)</a:t>
            </a:r>
          </a:p>
        </c:rich>
      </c:tx>
      <c:layout>
        <c:manualLayout>
          <c:xMode val="edge"/>
          <c:yMode val="edge"/>
          <c:x val="0.35520864984922934"/>
          <c:y val="1.60350598377037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875073115105298E-2"/>
          <c:y val="0.13965948408187701"/>
          <c:w val="0.77010805580405473"/>
          <c:h val="0.67435659583647922"/>
        </c:manualLayout>
      </c:layout>
      <c:scatterChart>
        <c:scatterStyle val="lineMarker"/>
        <c:varyColors val="0"/>
        <c:ser>
          <c:idx val="4"/>
          <c:order val="0"/>
          <c:tx>
            <c:strRef>
              <c:f>Indices!$K$55</c:f>
              <c:strCache>
                <c:ptCount val="1"/>
                <c:pt idx="0">
                  <c:v>BR-LL</c:v>
                </c:pt>
              </c:strCache>
            </c:strRef>
          </c:tx>
          <c:spPr>
            <a:ln w="254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Indices!$A$113:$A$149</c:f>
              <c:numCache>
                <c:formatCode>General</c:formatCode>
                <c:ptCount val="3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</c:numCache>
            </c:numRef>
          </c:xVal>
          <c:yVal>
            <c:numRef>
              <c:f>Indices!$K$113:$K$147</c:f>
              <c:numCache>
                <c:formatCode>0.00</c:formatCode>
                <c:ptCount val="35"/>
                <c:pt idx="0">
                  <c:v>6.4039408866995065E-2</c:v>
                </c:pt>
                <c:pt idx="1">
                  <c:v>3.4482758620689655E-2</c:v>
                </c:pt>
                <c:pt idx="2">
                  <c:v>0.1625615763546798</c:v>
                </c:pt>
                <c:pt idx="3">
                  <c:v>4.926108374384236E-2</c:v>
                </c:pt>
                <c:pt idx="4">
                  <c:v>4.926108374384236E-2</c:v>
                </c:pt>
                <c:pt idx="5">
                  <c:v>2.9556650246305417E-2</c:v>
                </c:pt>
                <c:pt idx="6">
                  <c:v>0.19704433497536944</c:v>
                </c:pt>
                <c:pt idx="7">
                  <c:v>0.2857142857142857</c:v>
                </c:pt>
                <c:pt idx="8">
                  <c:v>0.21674876847290639</c:v>
                </c:pt>
                <c:pt idx="9">
                  <c:v>0.10344827586206896</c:v>
                </c:pt>
                <c:pt idx="10">
                  <c:v>0.36945812807881767</c:v>
                </c:pt>
                <c:pt idx="11">
                  <c:v>0.29064039408866993</c:v>
                </c:pt>
                <c:pt idx="12">
                  <c:v>0.64532019704433496</c:v>
                </c:pt>
                <c:pt idx="13">
                  <c:v>0.21182266009852213</c:v>
                </c:pt>
                <c:pt idx="14">
                  <c:v>0.25615763546798026</c:v>
                </c:pt>
                <c:pt idx="15">
                  <c:v>7.389162561576354E-2</c:v>
                </c:pt>
                <c:pt idx="16">
                  <c:v>0.37931034482758619</c:v>
                </c:pt>
                <c:pt idx="17">
                  <c:v>0.67980295566502469</c:v>
                </c:pt>
                <c:pt idx="18">
                  <c:v>0.72413793103448265</c:v>
                </c:pt>
                <c:pt idx="19">
                  <c:v>0.38423645320197042</c:v>
                </c:pt>
                <c:pt idx="20">
                  <c:v>0.78817733990147776</c:v>
                </c:pt>
                <c:pt idx="21">
                  <c:v>0.39901477832512317</c:v>
                </c:pt>
                <c:pt idx="22">
                  <c:v>0.25615763546798026</c:v>
                </c:pt>
                <c:pt idx="23">
                  <c:v>0.88177339901477825</c:v>
                </c:pt>
                <c:pt idx="24">
                  <c:v>1.0344827586206895</c:v>
                </c:pt>
                <c:pt idx="25">
                  <c:v>1.211822660098522</c:v>
                </c:pt>
                <c:pt idx="26">
                  <c:v>1.3349753694581281</c:v>
                </c:pt>
                <c:pt idx="27">
                  <c:v>0.80295566502463056</c:v>
                </c:pt>
                <c:pt idx="28">
                  <c:v>0.7783251231527093</c:v>
                </c:pt>
                <c:pt idx="29">
                  <c:v>0.98522167487684731</c:v>
                </c:pt>
                <c:pt idx="30">
                  <c:v>1.1182266009852215</c:v>
                </c:pt>
                <c:pt idx="31">
                  <c:v>0.94088669950738912</c:v>
                </c:pt>
                <c:pt idx="32">
                  <c:v>0.95566502463054182</c:v>
                </c:pt>
                <c:pt idx="33">
                  <c:v>1.940886699507389</c:v>
                </c:pt>
                <c:pt idx="34">
                  <c:v>1.0985221674876846</c:v>
                </c:pt>
              </c:numCache>
            </c:numRef>
          </c:yVal>
          <c:smooth val="0"/>
        </c:ser>
        <c:ser>
          <c:idx val="7"/>
          <c:order val="1"/>
          <c:tx>
            <c:strRef>
              <c:f>Indices!$J$55</c:f>
              <c:strCache>
                <c:ptCount val="1"/>
                <c:pt idx="0">
                  <c:v>JPLL-S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Indices!$A$113:$A$149</c:f>
              <c:numCache>
                <c:formatCode>General</c:formatCode>
                <c:ptCount val="3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</c:numCache>
            </c:numRef>
          </c:xVal>
          <c:yVal>
            <c:numRef>
              <c:f>Indices!$J$113:$J$149</c:f>
              <c:numCache>
                <c:formatCode>0.0</c:formatCode>
                <c:ptCount val="37"/>
                <c:pt idx="16" formatCode="0.00">
                  <c:v>0.73115727002967346</c:v>
                </c:pt>
                <c:pt idx="17" formatCode="0.00">
                  <c:v>0.46765578635014832</c:v>
                </c:pt>
                <c:pt idx="18" formatCode="0.00">
                  <c:v>0.53095944609297729</c:v>
                </c:pt>
                <c:pt idx="19" formatCode="0.00">
                  <c:v>0.63857566765578622</c:v>
                </c:pt>
                <c:pt idx="20" formatCode="0.00">
                  <c:v>0.53175074183976256</c:v>
                </c:pt>
                <c:pt idx="21" formatCode="0.00">
                  <c:v>0.77942631058358058</c:v>
                </c:pt>
                <c:pt idx="22" formatCode="0.00">
                  <c:v>0.61008902077151328</c:v>
                </c:pt>
                <c:pt idx="23" formatCode="0.00">
                  <c:v>0.51355093966369925</c:v>
                </c:pt>
                <c:pt idx="24" formatCode="0.00">
                  <c:v>0.41622156280909983</c:v>
                </c:pt>
                <c:pt idx="25" formatCode="0.00">
                  <c:v>0.59188921859545007</c:v>
                </c:pt>
                <c:pt idx="26" formatCode="0.00">
                  <c:v>0.61088031651829866</c:v>
                </c:pt>
                <c:pt idx="27" formatCode="0.00">
                  <c:v>0.54282888229475756</c:v>
                </c:pt>
                <c:pt idx="28" formatCode="0.00">
                  <c:v>1.1853610286844707</c:v>
                </c:pt>
                <c:pt idx="29" formatCode="0.00">
                  <c:v>0.74381800197823933</c:v>
                </c:pt>
                <c:pt idx="30" formatCode="0.00">
                  <c:v>0.92502472799208701</c:v>
                </c:pt>
                <c:pt idx="31" formatCode="0.00">
                  <c:v>1.1679525222551927</c:v>
                </c:pt>
                <c:pt idx="32" formatCode="0.00">
                  <c:v>1.1632047477744805</c:v>
                </c:pt>
                <c:pt idx="33" formatCode="0.00">
                  <c:v>2.4941641938674577</c:v>
                </c:pt>
                <c:pt idx="34" formatCode="0.00">
                  <c:v>1.8856577645895152</c:v>
                </c:pt>
                <c:pt idx="35" formatCode="0.00">
                  <c:v>0.97091988130563789</c:v>
                </c:pt>
                <c:pt idx="36" formatCode="0.00">
                  <c:v>2.1681503461918892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Indices!$N$55</c:f>
              <c:strCache>
                <c:ptCount val="1"/>
                <c:pt idx="0">
                  <c:v>CH-TA-LLS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Indices!$A$113:$A$149</c:f>
              <c:numCache>
                <c:formatCode>General</c:formatCode>
                <c:ptCount val="3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</c:numCache>
            </c:numRef>
          </c:xVal>
          <c:yVal>
            <c:numRef>
              <c:f>Indices!$N$113:$N$149</c:f>
              <c:numCache>
                <c:formatCode>0.0</c:formatCode>
                <c:ptCount val="37"/>
                <c:pt idx="29" formatCode="0.00">
                  <c:v>0.89153551680136101</c:v>
                </c:pt>
                <c:pt idx="30" formatCode="0.00">
                  <c:v>1.1331348362398979</c:v>
                </c:pt>
                <c:pt idx="31" formatCode="0.00">
                  <c:v>0.85920884729902158</c:v>
                </c:pt>
                <c:pt idx="32" formatCode="0.00">
                  <c:v>1.1161207996597191</c:v>
                </c:pt>
                <c:pt idx="33" formatCode="0.00">
                  <c:v>1.2216078264568269</c:v>
                </c:pt>
                <c:pt idx="34" formatCode="0.00">
                  <c:v>1.156954487452148</c:v>
                </c:pt>
                <c:pt idx="35" formatCode="0.00">
                  <c:v>0.95959166312207556</c:v>
                </c:pt>
                <c:pt idx="36" formatCode="0.00">
                  <c:v>1.3526159081242024</c:v>
                </c:pt>
              </c:numCache>
            </c:numRef>
          </c:yVal>
          <c:smooth val="0"/>
        </c:ser>
        <c:ser>
          <c:idx val="0"/>
          <c:order val="3"/>
          <c:tx>
            <c:v>URU-LL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Indices!$A$117:$A$145</c:f>
              <c:numCache>
                <c:formatCode>General</c:formatCode>
                <c:ptCount val="29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</c:numCache>
            </c:numRef>
          </c:xVal>
          <c:yVal>
            <c:numRef>
              <c:f>Indices!$I$117:$I$145</c:f>
              <c:numCache>
                <c:formatCode>0.00</c:formatCode>
                <c:ptCount val="29"/>
                <c:pt idx="0">
                  <c:v>1.6160904996165149</c:v>
                </c:pt>
                <c:pt idx="1">
                  <c:v>0.62584232115505667</c:v>
                </c:pt>
                <c:pt idx="2">
                  <c:v>0.29707881956479393</c:v>
                </c:pt>
                <c:pt idx="3">
                  <c:v>0.22803752292825258</c:v>
                </c:pt>
                <c:pt idx="4">
                  <c:v>0.25779413899329306</c:v>
                </c:pt>
                <c:pt idx="5">
                  <c:v>0.48366257631137199</c:v>
                </c:pt>
                <c:pt idx="6">
                  <c:v>0.34871666944988106</c:v>
                </c:pt>
                <c:pt idx="7">
                  <c:v>0.53464706985380994</c:v>
                </c:pt>
                <c:pt idx="8">
                  <c:v>0.65335241989275195</c:v>
                </c:pt>
                <c:pt idx="9">
                  <c:v>0.63596698196979162</c:v>
                </c:pt>
                <c:pt idx="10">
                  <c:v>0.67065205895288904</c:v>
                </c:pt>
                <c:pt idx="11">
                  <c:v>0.80871242048623071</c:v>
                </c:pt>
                <c:pt idx="12">
                  <c:v>1.6488619576917602</c:v>
                </c:pt>
                <c:pt idx="13">
                  <c:v>1.4397988667090542</c:v>
                </c:pt>
                <c:pt idx="14">
                  <c:v>0.69955952137769484</c:v>
                </c:pt>
                <c:pt idx="15">
                  <c:v>0.99001029729081913</c:v>
                </c:pt>
                <c:pt idx="16">
                  <c:v>0.70850220763905236</c:v>
                </c:pt>
                <c:pt idx="17">
                  <c:v>0.98744182197544261</c:v>
                </c:pt>
                <c:pt idx="18">
                  <c:v>1.502931381271952</c:v>
                </c:pt>
                <c:pt idx="19">
                  <c:v>1.5555050838591706</c:v>
                </c:pt>
                <c:pt idx="20">
                  <c:v>1.1565397668451807</c:v>
                </c:pt>
                <c:pt idx="21">
                  <c:v>1.2807633351372971</c:v>
                </c:pt>
                <c:pt idx="22">
                  <c:v>1.1613808913442931</c:v>
                </c:pt>
                <c:pt idx="23">
                  <c:v>0.99021640128247157</c:v>
                </c:pt>
                <c:pt idx="24">
                  <c:v>1.0216103471718581</c:v>
                </c:pt>
                <c:pt idx="25">
                  <c:v>0.69437735715901561</c:v>
                </c:pt>
                <c:pt idx="26">
                  <c:v>0.68053778519236974</c:v>
                </c:pt>
                <c:pt idx="27">
                  <c:v>1.0626231832776774</c:v>
                </c:pt>
                <c:pt idx="28">
                  <c:v>1.5624616743709374</c:v>
                </c:pt>
              </c:numCache>
            </c:numRef>
          </c:yVal>
          <c:smooth val="0"/>
        </c:ser>
        <c:ser>
          <c:idx val="2"/>
          <c:order val="4"/>
          <c:tx>
            <c:v>URU-Obs</c:v>
          </c:tx>
          <c:marker>
            <c:symbol val="none"/>
          </c:marker>
          <c:xVal>
            <c:numRef>
              <c:f>Indices!$A$136:$A$147</c:f>
              <c:numCache>
                <c:formatCode>General</c:formatCode>
                <c:ptCount val="1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</c:numCache>
            </c:numRef>
          </c:xVal>
          <c:yVal>
            <c:numRef>
              <c:f>Indices!$L$136:$L$147</c:f>
              <c:numCache>
                <c:formatCode>0.00</c:formatCode>
                <c:ptCount val="12"/>
                <c:pt idx="0">
                  <c:v>0.6095890410958904</c:v>
                </c:pt>
                <c:pt idx="1">
                  <c:v>0.9452054794520548</c:v>
                </c:pt>
                <c:pt idx="2">
                  <c:v>1.1506849315068493</c:v>
                </c:pt>
                <c:pt idx="3">
                  <c:v>1.0753424657534247</c:v>
                </c:pt>
                <c:pt idx="4">
                  <c:v>0.56164383561643838</c:v>
                </c:pt>
                <c:pt idx="5">
                  <c:v>0.80821917808219179</c:v>
                </c:pt>
                <c:pt idx="6">
                  <c:v>0.51369863013698636</c:v>
                </c:pt>
                <c:pt idx="7">
                  <c:v>0.90410958904109595</c:v>
                </c:pt>
                <c:pt idx="8">
                  <c:v>0.79452054794520544</c:v>
                </c:pt>
                <c:pt idx="9">
                  <c:v>1.7876712328767124</c:v>
                </c:pt>
                <c:pt idx="10">
                  <c:v>0.81506849315068497</c:v>
                </c:pt>
                <c:pt idx="11">
                  <c:v>1.1849315068493151</c:v>
                </c:pt>
              </c:numCache>
            </c:numRef>
          </c:yVal>
          <c:smooth val="0"/>
        </c:ser>
        <c:ser>
          <c:idx val="3"/>
          <c:order val="5"/>
          <c:tx>
            <c:strRef>
              <c:f>Indices!$M$105</c:f>
              <c:strCache>
                <c:ptCount val="1"/>
                <c:pt idx="0">
                  <c:v>ESP-LL-S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Indices!$A$106:$A$150</c:f>
              <c:numCache>
                <c:formatCode>General</c:formatCode>
                <c:ptCount val="4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</c:numCache>
            </c:numRef>
          </c:xVal>
          <c:yVal>
            <c:numRef>
              <c:f>Indices!$M$106:$M$150</c:f>
              <c:numCache>
                <c:formatCode>0.0</c:formatCode>
                <c:ptCount val="45"/>
                <c:pt idx="19" formatCode="0.00">
                  <c:v>0.98530376965442446</c:v>
                </c:pt>
                <c:pt idx="20" formatCode="0.00">
                  <c:v>0.78086921781810914</c:v>
                </c:pt>
                <c:pt idx="21" formatCode="0.00">
                  <c:v>1.0331307251091515</c:v>
                </c:pt>
                <c:pt idx="22" formatCode="0.00">
                  <c:v>1.0814142624775276</c:v>
                </c:pt>
                <c:pt idx="23" formatCode="0.00">
                  <c:v>1.0746796792512057</c:v>
                </c:pt>
                <c:pt idx="24" formatCode="0.00">
                  <c:v>1.245327169477499</c:v>
                </c:pt>
                <c:pt idx="25" formatCode="0.00">
                  <c:v>1.4793254002225837</c:v>
                </c:pt>
                <c:pt idx="26" formatCode="0.00">
                  <c:v>1.0916873555346289</c:v>
                </c:pt>
                <c:pt idx="27" formatCode="0.00">
                  <c:v>0.86944610906600461</c:v>
                </c:pt>
                <c:pt idx="28" formatCode="0.00">
                  <c:v>0.69857032788288664</c:v>
                </c:pt>
                <c:pt idx="29" formatCode="0.00">
                  <c:v>1.0537910567017663</c:v>
                </c:pt>
                <c:pt idx="30" formatCode="0.00">
                  <c:v>1.3029706360756783</c:v>
                </c:pt>
                <c:pt idx="31" formatCode="0.00">
                  <c:v>1.2134805810004849</c:v>
                </c:pt>
                <c:pt idx="32" formatCode="0.00">
                  <c:v>1.1922495220158091</c:v>
                </c:pt>
                <c:pt idx="33" formatCode="0.00">
                  <c:v>1.1309534001084383</c:v>
                </c:pt>
                <c:pt idx="34" formatCode="0.00">
                  <c:v>1.240533059384185</c:v>
                </c:pt>
                <c:pt idx="35" formatCode="0.00">
                  <c:v>1.035756071112633</c:v>
                </c:pt>
                <c:pt idx="36" formatCode="0.00">
                  <c:v>0.96658391119481779</c:v>
                </c:pt>
                <c:pt idx="37" formatCode="0.00">
                  <c:v>0.85357988756670378</c:v>
                </c:pt>
                <c:pt idx="38" formatCode="0.00">
                  <c:v>1.0297063607567845</c:v>
                </c:pt>
                <c:pt idx="39" formatCode="0.00">
                  <c:v>1.150129840481694</c:v>
                </c:pt>
                <c:pt idx="40" formatCode="0.00">
                  <c:v>1.5298918471592045</c:v>
                </c:pt>
                <c:pt idx="41" formatCode="0.00">
                  <c:v>1.4271609165881916</c:v>
                </c:pt>
                <c:pt idx="42" formatCode="0.00">
                  <c:v>1.5255543189795393</c:v>
                </c:pt>
                <c:pt idx="43" formatCode="0.00">
                  <c:v>1.5043232599948635</c:v>
                </c:pt>
                <c:pt idx="44" formatCode="0.00">
                  <c:v>1.355934138058956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96000"/>
        <c:axId val="202590464"/>
      </c:scatterChart>
      <c:valAx>
        <c:axId val="202096000"/>
        <c:scaling>
          <c:orientation val="minMax"/>
          <c:max val="2016"/>
          <c:min val="1978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0"/>
                  <a:t>Year</a:t>
                </a:r>
              </a:p>
            </c:rich>
          </c:tx>
          <c:layout>
            <c:manualLayout>
              <c:xMode val="edge"/>
              <c:yMode val="edge"/>
              <c:x val="0.44479213309168075"/>
              <c:y val="0.897574187591371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590464"/>
        <c:crosses val="autoZero"/>
        <c:crossBetween val="midCat"/>
        <c:majorUnit val="2"/>
        <c:minorUnit val="1"/>
      </c:valAx>
      <c:valAx>
        <c:axId val="202590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0"/>
                  <a:t>Relative index</a:t>
                </a:r>
              </a:p>
            </c:rich>
          </c:tx>
          <c:layout>
            <c:manualLayout>
              <c:xMode val="edge"/>
              <c:yMode val="edge"/>
              <c:x val="4.6184738955823285E-3"/>
              <c:y val="0.369272190032849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09600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22011753048941168"/>
          <c:y val="7.8637316561844861E-2"/>
          <c:w val="0.59080504364694475"/>
          <c:h val="3.577196718334736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89" r="0.75000000000000189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North Atlantic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069685039370078"/>
          <c:y val="0.24584499854184894"/>
          <c:w val="0.75891426071741031"/>
          <c:h val="0.54558253135024792"/>
        </c:manualLayout>
      </c:layout>
      <c:scatterChart>
        <c:scatterStyle val="lineMarker"/>
        <c:varyColors val="0"/>
        <c:ser>
          <c:idx val="4"/>
          <c:order val="0"/>
          <c:tx>
            <c:v>2012 catches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Indices!$AE$7:$AE$72</c:f>
              <c:numCache>
                <c:formatCode>General</c:formatCode>
                <c:ptCount val="66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</c:numCache>
            </c:numRef>
          </c:xVal>
          <c:yVal>
            <c:numRef>
              <c:f>Indices!$AJ$7:$AJ$72</c:f>
              <c:numCache>
                <c:formatCode>General</c:formatCode>
                <c:ptCount val="66"/>
                <c:pt idx="21" formatCode="0">
                  <c:v>3717.31</c:v>
                </c:pt>
                <c:pt idx="22" formatCode="0">
                  <c:v>3013.9900000000002</c:v>
                </c:pt>
                <c:pt idx="23" formatCode="0">
                  <c:v>3322.3099999999995</c:v>
                </c:pt>
                <c:pt idx="24" formatCode="0">
                  <c:v>3345.0099999999993</c:v>
                </c:pt>
                <c:pt idx="25" formatCode="0">
                  <c:v>4280.17</c:v>
                </c:pt>
                <c:pt idx="26" formatCode="0">
                  <c:v>3038.31</c:v>
                </c:pt>
                <c:pt idx="27" formatCode="0">
                  <c:v>3642.19</c:v>
                </c:pt>
                <c:pt idx="28" formatCode="0">
                  <c:v>3240.71</c:v>
                </c:pt>
                <c:pt idx="29" formatCode="0">
                  <c:v>2401.7200000000003</c:v>
                </c:pt>
                <c:pt idx="30" formatCode="0">
                  <c:v>3253.2100000000005</c:v>
                </c:pt>
                <c:pt idx="31" formatCode="0">
                  <c:v>3079.4500000000003</c:v>
                </c:pt>
                <c:pt idx="32" formatCode="0">
                  <c:v>3614.3399999999997</c:v>
                </c:pt>
                <c:pt idx="33" formatCode="0">
                  <c:v>4209.4000000000005</c:v>
                </c:pt>
                <c:pt idx="34" formatCode="0">
                  <c:v>4479.93</c:v>
                </c:pt>
                <c:pt idx="35" formatCode="0">
                  <c:v>6900.23</c:v>
                </c:pt>
                <c:pt idx="36" formatCode="0">
                  <c:v>6589.380000000001</c:v>
                </c:pt>
                <c:pt idx="37" formatCode="0">
                  <c:v>6335.5499999999975</c:v>
                </c:pt>
                <c:pt idx="38" formatCode="0">
                  <c:v>5984.5700000000006</c:v>
                </c:pt>
                <c:pt idx="39" formatCode="0">
                  <c:v>4097.8200000000006</c:v>
                </c:pt>
                <c:pt idx="40" formatCode="0">
                  <c:v>3851.7599999999998</c:v>
                </c:pt>
                <c:pt idx="41" formatCode="0">
                  <c:v>4113.53</c:v>
                </c:pt>
                <c:pt idx="42" formatCode="0">
                  <c:v>3871.41</c:v>
                </c:pt>
                <c:pt idx="43" formatCode="0">
                  <c:v>5363.5000000000018</c:v>
                </c:pt>
                <c:pt idx="44" formatCode="0">
                  <c:v>4447.9799999999996</c:v>
                </c:pt>
                <c:pt idx="45" formatCode="0">
                  <c:v>5839.780999999999</c:v>
                </c:pt>
                <c:pt idx="46" formatCode="0">
                  <c:v>4029.8139999999999</c:v>
                </c:pt>
                <c:pt idx="47" formatCode="0">
                  <c:v>3531.558</c:v>
                </c:pt>
                <c:pt idx="48" formatCode="0">
                  <c:v>3238.297</c:v>
                </c:pt>
                <c:pt idx="49" formatCode="0">
                  <c:v>2837.5459999999998</c:v>
                </c:pt>
                <c:pt idx="50" formatCode="0">
                  <c:v>2665.8175000000001</c:v>
                </c:pt>
                <c:pt idx="51" formatCode="0">
                  <c:v>2811.9430000000007</c:v>
                </c:pt>
                <c:pt idx="52" formatCode="0">
                  <c:v>3249.8589999999995</c:v>
                </c:pt>
                <c:pt idx="53" formatCode="0">
                  <c:v>3738.4409999999998</c:v>
                </c:pt>
                <c:pt idx="54" formatCode="0">
                  <c:v>4648.0193199999985</c:v>
                </c:pt>
                <c:pt idx="55" formatCode="0">
                  <c:v>3344.5590000000002</c:v>
                </c:pt>
                <c:pt idx="56" formatCode="0">
                  <c:v>3265.5629999999996</c:v>
                </c:pt>
                <c:pt idx="57" formatCode="0">
                  <c:v>3960.4307100000001</c:v>
                </c:pt>
                <c:pt idx="58" formatCode="0">
                  <c:v>3507.4976000000011</c:v>
                </c:pt>
                <c:pt idx="59" formatCode="0">
                  <c:v>4013.267510000001</c:v>
                </c:pt>
                <c:pt idx="60" formatCode="0">
                  <c:v>4065.6419000000005</c:v>
                </c:pt>
              </c:numCache>
            </c:numRef>
          </c:yVal>
          <c:smooth val="0"/>
        </c:ser>
        <c:ser>
          <c:idx val="5"/>
          <c:order val="1"/>
          <c:tx>
            <c:v>2017 catches</c:v>
          </c:tx>
          <c:marker>
            <c:symbol val="none"/>
          </c:marker>
          <c:xVal>
            <c:numRef>
              <c:f>Indices!$AE$7:$AE$72</c:f>
              <c:numCache>
                <c:formatCode>General</c:formatCode>
                <c:ptCount val="66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</c:numCache>
            </c:numRef>
          </c:xVal>
          <c:yVal>
            <c:numRef>
              <c:f>Indices!$AL$7:$AL$72</c:f>
              <c:numCache>
                <c:formatCode>0.0</c:formatCode>
                <c:ptCount val="66"/>
                <c:pt idx="0">
                  <c:v>105.63</c:v>
                </c:pt>
                <c:pt idx="1">
                  <c:v>70.614999999999995</c:v>
                </c:pt>
                <c:pt idx="2">
                  <c:v>70.614999999999995</c:v>
                </c:pt>
                <c:pt idx="3">
                  <c:v>87.94</c:v>
                </c:pt>
                <c:pt idx="4">
                  <c:v>22.295999999999999</c:v>
                </c:pt>
                <c:pt idx="5">
                  <c:v>45.249000000000002</c:v>
                </c:pt>
                <c:pt idx="6">
                  <c:v>27.34</c:v>
                </c:pt>
                <c:pt idx="7">
                  <c:v>73.100999999999999</c:v>
                </c:pt>
                <c:pt idx="8">
                  <c:v>60.82</c:v>
                </c:pt>
                <c:pt idx="9">
                  <c:v>80.411000000000001</c:v>
                </c:pt>
                <c:pt idx="10">
                  <c:v>52.779000000000003</c:v>
                </c:pt>
                <c:pt idx="11">
                  <c:v>128.23670000000001</c:v>
                </c:pt>
                <c:pt idx="12">
                  <c:v>176.0634</c:v>
                </c:pt>
                <c:pt idx="13">
                  <c:v>77.066699999999997</c:v>
                </c:pt>
                <c:pt idx="14">
                  <c:v>143.47809999999998</c:v>
                </c:pt>
                <c:pt idx="15">
                  <c:v>114.0063</c:v>
                </c:pt>
                <c:pt idx="16">
                  <c:v>227.16040000000001</c:v>
                </c:pt>
                <c:pt idx="17">
                  <c:v>203.91145</c:v>
                </c:pt>
                <c:pt idx="18">
                  <c:v>268.17234999999999</c:v>
                </c:pt>
                <c:pt idx="19">
                  <c:v>266.57319999999999</c:v>
                </c:pt>
                <c:pt idx="20">
                  <c:v>240.25129999999999</c:v>
                </c:pt>
                <c:pt idx="21">
                  <c:v>373.25295</c:v>
                </c:pt>
                <c:pt idx="22">
                  <c:v>359.56725</c:v>
                </c:pt>
                <c:pt idx="23">
                  <c:v>347.80450000000002</c:v>
                </c:pt>
                <c:pt idx="24">
                  <c:v>526.41140000000007</c:v>
                </c:pt>
                <c:pt idx="25">
                  <c:v>627.82225000000005</c:v>
                </c:pt>
                <c:pt idx="26">
                  <c:v>297.7824</c:v>
                </c:pt>
                <c:pt idx="27">
                  <c:v>481.85570000000001</c:v>
                </c:pt>
                <c:pt idx="28">
                  <c:v>424.23644999999999</c:v>
                </c:pt>
                <c:pt idx="29">
                  <c:v>371.22360000000003</c:v>
                </c:pt>
                <c:pt idx="30">
                  <c:v>614.40219999999988</c:v>
                </c:pt>
                <c:pt idx="31">
                  <c:v>1179.2708</c:v>
                </c:pt>
                <c:pt idx="32">
                  <c:v>1373.2264500000001</c:v>
                </c:pt>
                <c:pt idx="33">
                  <c:v>1311.3947499999999</c:v>
                </c:pt>
                <c:pt idx="34">
                  <c:v>1623.8720499999999</c:v>
                </c:pt>
                <c:pt idx="35">
                  <c:v>3847.4711499999999</c:v>
                </c:pt>
                <c:pt idx="36">
                  <c:v>3776.5596999999998</c:v>
                </c:pt>
                <c:pt idx="37">
                  <c:v>3321.4566000000004</c:v>
                </c:pt>
                <c:pt idx="38">
                  <c:v>3000.82485</c:v>
                </c:pt>
                <c:pt idx="39">
                  <c:v>2244.3301499999998</c:v>
                </c:pt>
                <c:pt idx="40">
                  <c:v>2348.0425999999998</c:v>
                </c:pt>
                <c:pt idx="41">
                  <c:v>2292.4764999999998</c:v>
                </c:pt>
                <c:pt idx="42">
                  <c:v>3145.9164500000002</c:v>
                </c:pt>
                <c:pt idx="43">
                  <c:v>4185.1739500000022</c:v>
                </c:pt>
                <c:pt idx="44">
                  <c:v>3730.62185</c:v>
                </c:pt>
                <c:pt idx="45">
                  <c:v>5376.7534999999989</c:v>
                </c:pt>
                <c:pt idx="46">
                  <c:v>5398.0226500000008</c:v>
                </c:pt>
                <c:pt idx="47">
                  <c:v>3754.4877500000002</c:v>
                </c:pt>
                <c:pt idx="48">
                  <c:v>3895.3707999999997</c:v>
                </c:pt>
                <c:pt idx="49">
                  <c:v>2841.5144500000001</c:v>
                </c:pt>
                <c:pt idx="50">
                  <c:v>2652.8738000000003</c:v>
                </c:pt>
                <c:pt idx="51">
                  <c:v>2896.2839000000004</c:v>
                </c:pt>
                <c:pt idx="52">
                  <c:v>3570.3321999999998</c:v>
                </c:pt>
                <c:pt idx="53">
                  <c:v>4023.5266499999989</c:v>
                </c:pt>
                <c:pt idx="54">
                  <c:v>4044.7069700000006</c:v>
                </c:pt>
                <c:pt idx="55">
                  <c:v>3742.5451500000008</c:v>
                </c:pt>
                <c:pt idx="56">
                  <c:v>3607.6985500000001</c:v>
                </c:pt>
                <c:pt idx="57">
                  <c:v>4215.5480599999992</c:v>
                </c:pt>
                <c:pt idx="58">
                  <c:v>3851.9898000000007</c:v>
                </c:pt>
                <c:pt idx="59">
                  <c:v>4669.2301099999995</c:v>
                </c:pt>
                <c:pt idx="60">
                  <c:v>4823.8099499999989</c:v>
                </c:pt>
                <c:pt idx="61">
                  <c:v>3812.080195</c:v>
                </c:pt>
                <c:pt idx="62">
                  <c:v>4497.8896580714309</c:v>
                </c:pt>
                <c:pt idx="63">
                  <c:v>3650.8558620000003</c:v>
                </c:pt>
                <c:pt idx="64">
                  <c:v>2916.2274894745506</c:v>
                </c:pt>
                <c:pt idx="65">
                  <c:v>3226.9612710000001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63872"/>
        <c:axId val="207665408"/>
      </c:scatterChart>
      <c:valAx>
        <c:axId val="20766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7665408"/>
        <c:crosses val="autoZero"/>
        <c:crossBetween val="midCat"/>
      </c:valAx>
      <c:valAx>
        <c:axId val="207665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663872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24239982502187227"/>
          <c:y val="0.13425925925925927"/>
          <c:w val="0.51520034995625552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Shortfin mako CPUE indices (North)</a:t>
            </a:r>
          </a:p>
        </c:rich>
      </c:tx>
      <c:layout>
        <c:manualLayout>
          <c:xMode val="edge"/>
          <c:yMode val="edge"/>
          <c:x val="0.35520864984922934"/>
          <c:y val="1.60350598377037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875073115105298E-2"/>
          <c:y val="0.13965948408187701"/>
          <c:w val="0.77010805580405473"/>
          <c:h val="0.67435659583647922"/>
        </c:manualLayout>
      </c:layout>
      <c:scatterChart>
        <c:scatterStyle val="lineMarker"/>
        <c:varyColors val="0"/>
        <c:ser>
          <c:idx val="4"/>
          <c:order val="0"/>
          <c:tx>
            <c:strRef>
              <c:f>Indices!$B$55</c:f>
              <c:strCache>
                <c:ptCount val="1"/>
                <c:pt idx="0">
                  <c:v>US-Log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Indices!$A$121:$A$150</c:f>
              <c:numCache>
                <c:formatCode>General</c:formatCode>
                <c:ptCount val="30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</c:numCache>
            </c:numRef>
          </c:xVal>
          <c:yVal>
            <c:numRef>
              <c:f>Indices!$B$121:$B$150</c:f>
              <c:numCache>
                <c:formatCode>0.00</c:formatCode>
                <c:ptCount val="30"/>
                <c:pt idx="0">
                  <c:v>1.7870259138493221</c:v>
                </c:pt>
                <c:pt idx="1">
                  <c:v>1.7962931182426634</c:v>
                </c:pt>
                <c:pt idx="2">
                  <c:v>1.4163377381156683</c:v>
                </c:pt>
                <c:pt idx="3">
                  <c:v>1.6418397116869743</c:v>
                </c:pt>
                <c:pt idx="4">
                  <c:v>1.2865968766088896</c:v>
                </c:pt>
                <c:pt idx="5">
                  <c:v>1.1429552085120989</c:v>
                </c:pt>
                <c:pt idx="6">
                  <c:v>1.3530118414278358</c:v>
                </c:pt>
                <c:pt idx="7">
                  <c:v>1.1846576282821348</c:v>
                </c:pt>
                <c:pt idx="8">
                  <c:v>1.1136090612665177</c:v>
                </c:pt>
                <c:pt idx="9">
                  <c:v>1.0719066414964817</c:v>
                </c:pt>
                <c:pt idx="10">
                  <c:v>0.95452205251415811</c:v>
                </c:pt>
                <c:pt idx="11">
                  <c:v>0.87883988330187046</c:v>
                </c:pt>
                <c:pt idx="12">
                  <c:v>0.83095932726960697</c:v>
                </c:pt>
                <c:pt idx="13">
                  <c:v>0.81242491848292431</c:v>
                </c:pt>
                <c:pt idx="14">
                  <c:v>0.86030547451518791</c:v>
                </c:pt>
                <c:pt idx="15">
                  <c:v>0.78307877123734337</c:v>
                </c:pt>
                <c:pt idx="16">
                  <c:v>0.8216921228762657</c:v>
                </c:pt>
                <c:pt idx="17">
                  <c:v>0.88501801956409798</c:v>
                </c:pt>
                <c:pt idx="18">
                  <c:v>1.0441050283164579</c:v>
                </c:pt>
                <c:pt idx="19">
                  <c:v>1.0502831645786854</c:v>
                </c:pt>
                <c:pt idx="20">
                  <c:v>0.81705852067959495</c:v>
                </c:pt>
                <c:pt idx="21">
                  <c:v>1.2402608546421829</c:v>
                </c:pt>
                <c:pt idx="22">
                  <c:v>1.042560494250901</c:v>
                </c:pt>
                <c:pt idx="23">
                  <c:v>1.3313883645100393</c:v>
                </c:pt>
                <c:pt idx="24">
                  <c:v>1.1645786854298952</c:v>
                </c:pt>
                <c:pt idx="25">
                  <c:v>1.0873519821520508</c:v>
                </c:pt>
                <c:pt idx="26">
                  <c:v>0.79234597563068465</c:v>
                </c:pt>
                <c:pt idx="27">
                  <c:v>0.83868199759739148</c:v>
                </c:pt>
                <c:pt idx="28">
                  <c:v>0.75527715805731932</c:v>
                </c:pt>
                <c:pt idx="29">
                  <c:v>0.74755448772953481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Indices!$C$105</c:f>
              <c:strCache>
                <c:ptCount val="1"/>
                <c:pt idx="0">
                  <c:v>US-Obs</c:v>
                </c:pt>
              </c:strCache>
            </c:strRef>
          </c:tx>
          <c:spPr>
            <a:ln w="25400">
              <a:solidFill>
                <a:srgbClr val="C50BA2"/>
              </a:solidFill>
            </a:ln>
          </c:spPr>
          <c:marker>
            <c:symbol val="none"/>
          </c:marker>
          <c:xVal>
            <c:numRef>
              <c:f>Indices!$A$121:$A$150</c:f>
              <c:numCache>
                <c:formatCode>General</c:formatCode>
                <c:ptCount val="30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</c:numCache>
            </c:numRef>
          </c:xVal>
          <c:yVal>
            <c:numRef>
              <c:f>Indices!$C$121:$C$150</c:f>
              <c:numCache>
                <c:formatCode>0.00</c:formatCode>
                <c:ptCount val="30"/>
                <c:pt idx="6">
                  <c:v>1.2118918918918919</c:v>
                </c:pt>
                <c:pt idx="7">
                  <c:v>0.92648648648648657</c:v>
                </c:pt>
                <c:pt idx="8">
                  <c:v>0.62270270270270267</c:v>
                </c:pt>
                <c:pt idx="9">
                  <c:v>0.96216216216216222</c:v>
                </c:pt>
                <c:pt idx="10">
                  <c:v>0.55243243243243245</c:v>
                </c:pt>
                <c:pt idx="11">
                  <c:v>0.72216216216216222</c:v>
                </c:pt>
                <c:pt idx="12">
                  <c:v>0.53297297297297297</c:v>
                </c:pt>
                <c:pt idx="13">
                  <c:v>0.57405405405405407</c:v>
                </c:pt>
                <c:pt idx="14">
                  <c:v>0.87243243243243251</c:v>
                </c:pt>
                <c:pt idx="15">
                  <c:v>0.72864864864864876</c:v>
                </c:pt>
                <c:pt idx="16">
                  <c:v>0.88108108108108107</c:v>
                </c:pt>
                <c:pt idx="17">
                  <c:v>0.73297297297297304</c:v>
                </c:pt>
                <c:pt idx="18">
                  <c:v>1.0767567567567569</c:v>
                </c:pt>
                <c:pt idx="19">
                  <c:v>0.76864864864864868</c:v>
                </c:pt>
                <c:pt idx="20">
                  <c:v>0.83243243243243248</c:v>
                </c:pt>
                <c:pt idx="21">
                  <c:v>0.94054054054054059</c:v>
                </c:pt>
                <c:pt idx="22">
                  <c:v>0.68972972972972979</c:v>
                </c:pt>
                <c:pt idx="23">
                  <c:v>1.4594594594594597</c:v>
                </c:pt>
                <c:pt idx="24">
                  <c:v>0.95459459459459473</c:v>
                </c:pt>
                <c:pt idx="25">
                  <c:v>1.3632432432432433</c:v>
                </c:pt>
                <c:pt idx="26">
                  <c:v>1.1945945945945946</c:v>
                </c:pt>
                <c:pt idx="27">
                  <c:v>0.84000000000000008</c:v>
                </c:pt>
                <c:pt idx="28">
                  <c:v>0.87675675675675691</c:v>
                </c:pt>
                <c:pt idx="29">
                  <c:v>0.68108108108108112</c:v>
                </c:pt>
              </c:numCache>
            </c:numRef>
          </c:yVal>
          <c:smooth val="0"/>
        </c:ser>
        <c:ser>
          <c:idx val="7"/>
          <c:order val="2"/>
          <c:tx>
            <c:strRef>
              <c:f>Indices!$D$55</c:f>
              <c:strCache>
                <c:ptCount val="1"/>
                <c:pt idx="0">
                  <c:v>JPLL-N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Indices!$A$121:$A$150</c:f>
              <c:numCache>
                <c:formatCode>General</c:formatCode>
                <c:ptCount val="30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</c:numCache>
            </c:numRef>
          </c:xVal>
          <c:yVal>
            <c:numRef>
              <c:f>Indices!$D$121:$D$150</c:f>
              <c:numCache>
                <c:formatCode>0.00</c:formatCode>
                <c:ptCount val="30"/>
                <c:pt idx="8">
                  <c:v>1.1829845171625637</c:v>
                </c:pt>
                <c:pt idx="9">
                  <c:v>0.71647768587488225</c:v>
                </c:pt>
                <c:pt idx="10">
                  <c:v>0.7378043678915015</c:v>
                </c:pt>
                <c:pt idx="11">
                  <c:v>0.74382802972673956</c:v>
                </c:pt>
                <c:pt idx="12">
                  <c:v>0.60788423217568277</c:v>
                </c:pt>
                <c:pt idx="13">
                  <c:v>0.52424291981081506</c:v>
                </c:pt>
                <c:pt idx="14">
                  <c:v>0.53428621018405376</c:v>
                </c:pt>
                <c:pt idx="15">
                  <c:v>0.76489857181813814</c:v>
                </c:pt>
                <c:pt idx="16">
                  <c:v>0.77914684381994725</c:v>
                </c:pt>
                <c:pt idx="17">
                  <c:v>0.69812826930130845</c:v>
                </c:pt>
                <c:pt idx="18">
                  <c:v>0.65308019677448981</c:v>
                </c:pt>
                <c:pt idx="19">
                  <c:v>0.63374608094792551</c:v>
                </c:pt>
                <c:pt idx="20">
                  <c:v>0.88184880327430037</c:v>
                </c:pt>
                <c:pt idx="21">
                  <c:v>0.89962705085212991</c:v>
                </c:pt>
                <c:pt idx="22">
                  <c:v>1.3857567377751956</c:v>
                </c:pt>
                <c:pt idx="23">
                  <c:v>1.3298928467094677</c:v>
                </c:pt>
                <c:pt idx="24">
                  <c:v>1.4350514427942906</c:v>
                </c:pt>
                <c:pt idx="25">
                  <c:v>0.9313148482062007</c:v>
                </c:pt>
                <c:pt idx="26">
                  <c:v>0.75540768876813302</c:v>
                </c:pt>
                <c:pt idx="27">
                  <c:v>0.55483178850653558</c:v>
                </c:pt>
                <c:pt idx="28">
                  <c:v>1.1036112354058265</c:v>
                </c:pt>
                <c:pt idx="29">
                  <c:v>0.60450636098222055</c:v>
                </c:pt>
              </c:numCache>
            </c:numRef>
          </c:yVal>
          <c:smooth val="0"/>
        </c:ser>
        <c:ser>
          <c:idx val="1"/>
          <c:order val="3"/>
          <c:tx>
            <c:strRef>
              <c:f>Indices!$E$55</c:f>
              <c:strCache>
                <c:ptCount val="1"/>
                <c:pt idx="0">
                  <c:v>POR-LL-N</c:v>
                </c:pt>
              </c:strCache>
            </c:strRef>
          </c:tx>
          <c:spPr>
            <a:ln w="25400">
              <a:solidFill>
                <a:srgbClr val="00CCFF"/>
              </a:solidFill>
              <a:prstDash val="solid"/>
            </a:ln>
          </c:spPr>
          <c:marker>
            <c:symbol val="none"/>
          </c:marker>
          <c:xVal>
            <c:numRef>
              <c:f>Indices!$A$121:$A$150</c:f>
              <c:numCache>
                <c:formatCode>General</c:formatCode>
                <c:ptCount val="30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</c:numCache>
            </c:numRef>
          </c:xVal>
          <c:yVal>
            <c:numRef>
              <c:f>Indices!$E$121:$E$150</c:f>
              <c:numCache>
                <c:formatCode>0.00</c:formatCode>
                <c:ptCount val="30"/>
                <c:pt idx="13">
                  <c:v>0.5901958316629381</c:v>
                </c:pt>
                <c:pt idx="14">
                  <c:v>0.72367863133453814</c:v>
                </c:pt>
                <c:pt idx="15">
                  <c:v>0.85265952356886543</c:v>
                </c:pt>
                <c:pt idx="16">
                  <c:v>0.99548965456076688</c:v>
                </c:pt>
                <c:pt idx="17">
                  <c:v>1.1417307131960834</c:v>
                </c:pt>
                <c:pt idx="18">
                  <c:v>0.91625110703892731</c:v>
                </c:pt>
                <c:pt idx="19">
                  <c:v>1.002977860657708</c:v>
                </c:pt>
                <c:pt idx="20">
                  <c:v>1.7528047828749493</c:v>
                </c:pt>
                <c:pt idx="21">
                  <c:v>1.547805284666768</c:v>
                </c:pt>
                <c:pt idx="22">
                  <c:v>0.91077423335815055</c:v>
                </c:pt>
                <c:pt idx="23">
                  <c:v>1.4618424754297052</c:v>
                </c:pt>
                <c:pt idx="24">
                  <c:v>1.195539995321397</c:v>
                </c:pt>
                <c:pt idx="25">
                  <c:v>0.77551018942596273</c:v>
                </c:pt>
                <c:pt idx="26">
                  <c:v>0.93438767663924793</c:v>
                </c:pt>
                <c:pt idx="27">
                  <c:v>0.91848024762483693</c:v>
                </c:pt>
                <c:pt idx="28">
                  <c:v>0.91067890188919676</c:v>
                </c:pt>
                <c:pt idx="29">
                  <c:v>0.34498099564473422</c:v>
                </c:pt>
              </c:numCache>
            </c:numRef>
          </c:yVal>
          <c:smooth val="0"/>
        </c:ser>
        <c:ser>
          <c:idx val="5"/>
          <c:order val="4"/>
          <c:tx>
            <c:strRef>
              <c:f>Indices!$G$55</c:f>
              <c:strCache>
                <c:ptCount val="1"/>
                <c:pt idx="0">
                  <c:v>CH-TA-LLN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Indices!$A$121:$A$150</c:f>
              <c:numCache>
                <c:formatCode>General</c:formatCode>
                <c:ptCount val="30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</c:numCache>
            </c:numRef>
          </c:xVal>
          <c:yVal>
            <c:numRef>
              <c:f>Indices!$G$121:$G$150</c:f>
              <c:numCache>
                <c:formatCode>0.00</c:formatCode>
                <c:ptCount val="30"/>
                <c:pt idx="21">
                  <c:v>0.19766355140186917</c:v>
                </c:pt>
                <c:pt idx="22">
                  <c:v>0.78644859813084111</c:v>
                </c:pt>
                <c:pt idx="23">
                  <c:v>2.802336448598131</c:v>
                </c:pt>
                <c:pt idx="24">
                  <c:v>0.39813084112149538</c:v>
                </c:pt>
                <c:pt idx="25">
                  <c:v>1.4425233644859814</c:v>
                </c:pt>
                <c:pt idx="26">
                  <c:v>1.2266355140186915</c:v>
                </c:pt>
                <c:pt idx="27">
                  <c:v>0.45841121495327103</c:v>
                </c:pt>
                <c:pt idx="28">
                  <c:v>1.2967289719626169</c:v>
                </c:pt>
                <c:pt idx="29">
                  <c:v>0.39112149532710283</c:v>
                </c:pt>
              </c:numCache>
            </c:numRef>
          </c:yVal>
          <c:smooth val="0"/>
        </c:ser>
        <c:ser>
          <c:idx val="3"/>
          <c:order val="5"/>
          <c:tx>
            <c:strRef>
              <c:f>Indices!$F$105</c:f>
              <c:strCache>
                <c:ptCount val="1"/>
                <c:pt idx="0">
                  <c:v>ESP-LL-N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Indices!$A$106:$A$150</c:f>
              <c:numCache>
                <c:formatCode>General</c:formatCode>
                <c:ptCount val="4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</c:numCache>
            </c:numRef>
          </c:xVal>
          <c:yVal>
            <c:numRef>
              <c:f>Indices!$F$106:$F$150</c:f>
              <c:numCache>
                <c:formatCode>0.0</c:formatCode>
                <c:ptCount val="45"/>
                <c:pt idx="19" formatCode="0.00">
                  <c:v>0.74987834549878341</c:v>
                </c:pt>
                <c:pt idx="20" formatCode="0.00">
                  <c:v>0.68974626346889112</c:v>
                </c:pt>
                <c:pt idx="21" formatCode="0.00">
                  <c:v>0.79575947167188044</c:v>
                </c:pt>
                <c:pt idx="22" formatCode="0.00">
                  <c:v>0.75662148070907187</c:v>
                </c:pt>
                <c:pt idx="23" formatCode="0.00">
                  <c:v>0.69336114007646843</c:v>
                </c:pt>
                <c:pt idx="24" formatCode="0.00">
                  <c:v>0.6025721237400069</c:v>
                </c:pt>
                <c:pt idx="25" formatCode="0.00">
                  <c:v>0.75801181786583238</c:v>
                </c:pt>
                <c:pt idx="26" formatCode="0.00">
                  <c:v>0.45707334028501906</c:v>
                </c:pt>
                <c:pt idx="27" formatCode="0.00">
                  <c:v>0.52415710809871385</c:v>
                </c:pt>
                <c:pt idx="28" formatCode="0.00">
                  <c:v>0.47062912756343411</c:v>
                </c:pt>
                <c:pt idx="29" formatCode="0.00">
                  <c:v>0.52902328814737576</c:v>
                </c:pt>
                <c:pt idx="30" formatCode="0.00">
                  <c:v>0.61181786583246434</c:v>
                </c:pt>
                <c:pt idx="31" formatCode="0.00">
                  <c:v>0.8429614181438998</c:v>
                </c:pt>
                <c:pt idx="32" formatCode="0.00">
                  <c:v>0.99520333680917616</c:v>
                </c:pt>
                <c:pt idx="33" formatCode="0.00">
                  <c:v>1.0256517205422315</c:v>
                </c:pt>
                <c:pt idx="34" formatCode="0.00">
                  <c:v>0.96190476190476182</c:v>
                </c:pt>
                <c:pt idx="35" formatCode="0.00">
                  <c:v>0.8929440389294403</c:v>
                </c:pt>
                <c:pt idx="36" formatCode="0.00">
                  <c:v>1.1434132777198469</c:v>
                </c:pt>
                <c:pt idx="37" formatCode="0.00">
                  <c:v>1.2129301355578725</c:v>
                </c:pt>
                <c:pt idx="38" formatCode="0.00">
                  <c:v>1.1701077511296489</c:v>
                </c:pt>
                <c:pt idx="39" formatCode="0.00">
                  <c:v>1.0849496002780674</c:v>
                </c:pt>
                <c:pt idx="40" formatCode="0.00">
                  <c:v>0.88793882516510259</c:v>
                </c:pt>
                <c:pt idx="41" formatCode="0.00">
                  <c:v>1.065067778936392</c:v>
                </c:pt>
                <c:pt idx="42" formatCode="0.00">
                  <c:v>0.80437956204379557</c:v>
                </c:pt>
                <c:pt idx="43" formatCode="0.00">
                  <c:v>0.76176572818908583</c:v>
                </c:pt>
                <c:pt idx="44" formatCode="0.00">
                  <c:v>0.86944734098018761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41536"/>
        <c:axId val="209444224"/>
      </c:scatterChart>
      <c:scatterChart>
        <c:scatterStyle val="lineMarker"/>
        <c:varyColors val="0"/>
        <c:ser>
          <c:idx val="2"/>
          <c:order val="6"/>
          <c:tx>
            <c:v>Catch</c:v>
          </c:tx>
          <c:spPr>
            <a:ln w="3175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Indices!$AE$7:$AE$72</c:f>
              <c:numCache>
                <c:formatCode>General</c:formatCode>
                <c:ptCount val="66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</c:numCache>
            </c:numRef>
          </c:xVal>
          <c:yVal>
            <c:numRef>
              <c:f>Indices!$AL$7:$AL$72</c:f>
              <c:numCache>
                <c:formatCode>0.0</c:formatCode>
                <c:ptCount val="66"/>
                <c:pt idx="0">
                  <c:v>105.63</c:v>
                </c:pt>
                <c:pt idx="1">
                  <c:v>70.614999999999995</c:v>
                </c:pt>
                <c:pt idx="2">
                  <c:v>70.614999999999995</c:v>
                </c:pt>
                <c:pt idx="3">
                  <c:v>87.94</c:v>
                </c:pt>
                <c:pt idx="4">
                  <c:v>22.295999999999999</c:v>
                </c:pt>
                <c:pt idx="5">
                  <c:v>45.249000000000002</c:v>
                </c:pt>
                <c:pt idx="6">
                  <c:v>27.34</c:v>
                </c:pt>
                <c:pt idx="7">
                  <c:v>73.100999999999999</c:v>
                </c:pt>
                <c:pt idx="8">
                  <c:v>60.82</c:v>
                </c:pt>
                <c:pt idx="9">
                  <c:v>80.411000000000001</c:v>
                </c:pt>
                <c:pt idx="10">
                  <c:v>52.779000000000003</c:v>
                </c:pt>
                <c:pt idx="11">
                  <c:v>128.23670000000001</c:v>
                </c:pt>
                <c:pt idx="12">
                  <c:v>176.0634</c:v>
                </c:pt>
                <c:pt idx="13">
                  <c:v>77.066699999999997</c:v>
                </c:pt>
                <c:pt idx="14">
                  <c:v>143.47809999999998</c:v>
                </c:pt>
                <c:pt idx="15">
                  <c:v>114.0063</c:v>
                </c:pt>
                <c:pt idx="16">
                  <c:v>227.16040000000001</c:v>
                </c:pt>
                <c:pt idx="17">
                  <c:v>203.91145</c:v>
                </c:pt>
                <c:pt idx="18">
                  <c:v>268.17234999999999</c:v>
                </c:pt>
                <c:pt idx="19">
                  <c:v>266.57319999999999</c:v>
                </c:pt>
                <c:pt idx="20">
                  <c:v>240.25129999999999</c:v>
                </c:pt>
                <c:pt idx="21">
                  <c:v>373.25295</c:v>
                </c:pt>
                <c:pt idx="22">
                  <c:v>359.56725</c:v>
                </c:pt>
                <c:pt idx="23">
                  <c:v>347.80450000000002</c:v>
                </c:pt>
                <c:pt idx="24">
                  <c:v>526.41140000000007</c:v>
                </c:pt>
                <c:pt idx="25">
                  <c:v>627.82225000000005</c:v>
                </c:pt>
                <c:pt idx="26">
                  <c:v>297.7824</c:v>
                </c:pt>
                <c:pt idx="27">
                  <c:v>481.85570000000001</c:v>
                </c:pt>
                <c:pt idx="28">
                  <c:v>424.23644999999999</c:v>
                </c:pt>
                <c:pt idx="29">
                  <c:v>371.22360000000003</c:v>
                </c:pt>
                <c:pt idx="30">
                  <c:v>614.40219999999988</c:v>
                </c:pt>
                <c:pt idx="31">
                  <c:v>1179.2708</c:v>
                </c:pt>
                <c:pt idx="32">
                  <c:v>1373.2264500000001</c:v>
                </c:pt>
                <c:pt idx="33">
                  <c:v>1311.3947499999999</c:v>
                </c:pt>
                <c:pt idx="34">
                  <c:v>1623.8720499999999</c:v>
                </c:pt>
                <c:pt idx="35">
                  <c:v>3847.4711499999999</c:v>
                </c:pt>
                <c:pt idx="36">
                  <c:v>3776.5596999999998</c:v>
                </c:pt>
                <c:pt idx="37">
                  <c:v>3321.4566000000004</c:v>
                </c:pt>
                <c:pt idx="38">
                  <c:v>3000.82485</c:v>
                </c:pt>
                <c:pt idx="39">
                  <c:v>2244.3301499999998</c:v>
                </c:pt>
                <c:pt idx="40">
                  <c:v>2348.0425999999998</c:v>
                </c:pt>
                <c:pt idx="41">
                  <c:v>2292.4764999999998</c:v>
                </c:pt>
                <c:pt idx="42">
                  <c:v>3145.9164500000002</c:v>
                </c:pt>
                <c:pt idx="43">
                  <c:v>4185.1739500000022</c:v>
                </c:pt>
                <c:pt idx="44">
                  <c:v>3730.62185</c:v>
                </c:pt>
                <c:pt idx="45">
                  <c:v>5376.7534999999989</c:v>
                </c:pt>
                <c:pt idx="46">
                  <c:v>5398.0226500000008</c:v>
                </c:pt>
                <c:pt idx="47">
                  <c:v>3754.4877500000002</c:v>
                </c:pt>
                <c:pt idx="48">
                  <c:v>3895.3707999999997</c:v>
                </c:pt>
                <c:pt idx="49">
                  <c:v>2841.5144500000001</c:v>
                </c:pt>
                <c:pt idx="50">
                  <c:v>2652.8738000000003</c:v>
                </c:pt>
                <c:pt idx="51">
                  <c:v>2896.2839000000004</c:v>
                </c:pt>
                <c:pt idx="52">
                  <c:v>3570.3321999999998</c:v>
                </c:pt>
                <c:pt idx="53">
                  <c:v>4023.5266499999989</c:v>
                </c:pt>
                <c:pt idx="54">
                  <c:v>4044.7069700000006</c:v>
                </c:pt>
                <c:pt idx="55">
                  <c:v>3742.5451500000008</c:v>
                </c:pt>
                <c:pt idx="56">
                  <c:v>3607.6985500000001</c:v>
                </c:pt>
                <c:pt idx="57">
                  <c:v>4215.5480599999992</c:v>
                </c:pt>
                <c:pt idx="58">
                  <c:v>3851.9898000000007</c:v>
                </c:pt>
                <c:pt idx="59">
                  <c:v>4669.2301099999995</c:v>
                </c:pt>
                <c:pt idx="60">
                  <c:v>4823.8099499999989</c:v>
                </c:pt>
                <c:pt idx="61">
                  <c:v>3812.080195</c:v>
                </c:pt>
                <c:pt idx="62">
                  <c:v>4497.8896580714309</c:v>
                </c:pt>
                <c:pt idx="63">
                  <c:v>3650.8558620000003</c:v>
                </c:pt>
                <c:pt idx="64">
                  <c:v>2916.2274894745506</c:v>
                </c:pt>
                <c:pt idx="65">
                  <c:v>3226.9612710000001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097152"/>
        <c:axId val="210388480"/>
      </c:scatterChart>
      <c:valAx>
        <c:axId val="209441536"/>
        <c:scaling>
          <c:orientation val="minMax"/>
          <c:max val="2016"/>
          <c:min val="1986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0"/>
                  <a:t>Year</a:t>
                </a:r>
              </a:p>
            </c:rich>
          </c:tx>
          <c:layout>
            <c:manualLayout>
              <c:xMode val="edge"/>
              <c:yMode val="edge"/>
              <c:x val="0.44479213309168075"/>
              <c:y val="0.897574187591371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444224"/>
        <c:crosses val="autoZero"/>
        <c:crossBetween val="midCat"/>
        <c:majorUnit val="2"/>
        <c:minorUnit val="1"/>
      </c:valAx>
      <c:valAx>
        <c:axId val="209444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0"/>
                  <a:t>Relative index</a:t>
                </a:r>
              </a:p>
            </c:rich>
          </c:tx>
          <c:layout>
            <c:manualLayout>
              <c:xMode val="edge"/>
              <c:yMode val="edge"/>
              <c:x val="9.9732262382864791E-3"/>
              <c:y val="0.369272190032849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441536"/>
        <c:crosses val="autoZero"/>
        <c:crossBetween val="midCat"/>
      </c:valAx>
      <c:valAx>
        <c:axId val="21038848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Catch (t)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216097152"/>
        <c:crosses val="max"/>
        <c:crossBetween val="midCat"/>
      </c:valAx>
      <c:valAx>
        <c:axId val="216097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38848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6.0226093430496258E-2"/>
          <c:y val="7.0251572327044029E-2"/>
          <c:w val="0.82241406035407949"/>
          <c:h val="3.577196718334736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89" r="0.75000000000000189" t="1" header="0.5" footer="0.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Shortfin mako CPUE indices (South)</a:t>
            </a:r>
          </a:p>
        </c:rich>
      </c:tx>
      <c:layout>
        <c:manualLayout>
          <c:xMode val="edge"/>
          <c:yMode val="edge"/>
          <c:x val="0.35520864984922934"/>
          <c:y val="1.60350598377037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875073115105298E-2"/>
          <c:y val="0.13965948408187701"/>
          <c:w val="0.77010805580405473"/>
          <c:h val="0.67435659583647922"/>
        </c:manualLayout>
      </c:layout>
      <c:scatterChart>
        <c:scatterStyle val="lineMarker"/>
        <c:varyColors val="0"/>
        <c:ser>
          <c:idx val="4"/>
          <c:order val="0"/>
          <c:tx>
            <c:strRef>
              <c:f>Indices!$K$55</c:f>
              <c:strCache>
                <c:ptCount val="1"/>
                <c:pt idx="0">
                  <c:v>BR-LL</c:v>
                </c:pt>
              </c:strCache>
            </c:strRef>
          </c:tx>
          <c:spPr>
            <a:ln w="254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Indices!$A$113:$A$149</c:f>
              <c:numCache>
                <c:formatCode>General</c:formatCode>
                <c:ptCount val="3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</c:numCache>
            </c:numRef>
          </c:xVal>
          <c:yVal>
            <c:numRef>
              <c:f>Indices!$K$113:$K$147</c:f>
              <c:numCache>
                <c:formatCode>0.00</c:formatCode>
                <c:ptCount val="35"/>
                <c:pt idx="0">
                  <c:v>6.4039408866995065E-2</c:v>
                </c:pt>
                <c:pt idx="1">
                  <c:v>3.4482758620689655E-2</c:v>
                </c:pt>
                <c:pt idx="2">
                  <c:v>0.1625615763546798</c:v>
                </c:pt>
                <c:pt idx="3">
                  <c:v>4.926108374384236E-2</c:v>
                </c:pt>
                <c:pt idx="4">
                  <c:v>4.926108374384236E-2</c:v>
                </c:pt>
                <c:pt idx="5">
                  <c:v>2.9556650246305417E-2</c:v>
                </c:pt>
                <c:pt idx="6">
                  <c:v>0.19704433497536944</c:v>
                </c:pt>
                <c:pt idx="7">
                  <c:v>0.2857142857142857</c:v>
                </c:pt>
                <c:pt idx="8">
                  <c:v>0.21674876847290639</c:v>
                </c:pt>
                <c:pt idx="9">
                  <c:v>0.10344827586206896</c:v>
                </c:pt>
                <c:pt idx="10">
                  <c:v>0.36945812807881767</c:v>
                </c:pt>
                <c:pt idx="11">
                  <c:v>0.29064039408866993</c:v>
                </c:pt>
                <c:pt idx="12">
                  <c:v>0.64532019704433496</c:v>
                </c:pt>
                <c:pt idx="13">
                  <c:v>0.21182266009852213</c:v>
                </c:pt>
                <c:pt idx="14">
                  <c:v>0.25615763546798026</c:v>
                </c:pt>
                <c:pt idx="15">
                  <c:v>7.389162561576354E-2</c:v>
                </c:pt>
                <c:pt idx="16">
                  <c:v>0.37931034482758619</c:v>
                </c:pt>
                <c:pt idx="17">
                  <c:v>0.67980295566502469</c:v>
                </c:pt>
                <c:pt idx="18">
                  <c:v>0.72413793103448265</c:v>
                </c:pt>
                <c:pt idx="19">
                  <c:v>0.38423645320197042</c:v>
                </c:pt>
                <c:pt idx="20">
                  <c:v>0.78817733990147776</c:v>
                </c:pt>
                <c:pt idx="21">
                  <c:v>0.39901477832512317</c:v>
                </c:pt>
                <c:pt idx="22">
                  <c:v>0.25615763546798026</c:v>
                </c:pt>
                <c:pt idx="23">
                  <c:v>0.88177339901477825</c:v>
                </c:pt>
                <c:pt idx="24">
                  <c:v>1.0344827586206895</c:v>
                </c:pt>
                <c:pt idx="25">
                  <c:v>1.211822660098522</c:v>
                </c:pt>
                <c:pt idx="26">
                  <c:v>1.3349753694581281</c:v>
                </c:pt>
                <c:pt idx="27">
                  <c:v>0.80295566502463056</c:v>
                </c:pt>
                <c:pt idx="28">
                  <c:v>0.7783251231527093</c:v>
                </c:pt>
                <c:pt idx="29">
                  <c:v>0.98522167487684731</c:v>
                </c:pt>
                <c:pt idx="30">
                  <c:v>1.1182266009852215</c:v>
                </c:pt>
                <c:pt idx="31">
                  <c:v>0.94088669950738912</c:v>
                </c:pt>
                <c:pt idx="32">
                  <c:v>0.95566502463054182</c:v>
                </c:pt>
                <c:pt idx="33">
                  <c:v>1.940886699507389</c:v>
                </c:pt>
                <c:pt idx="34">
                  <c:v>1.0985221674876846</c:v>
                </c:pt>
              </c:numCache>
            </c:numRef>
          </c:yVal>
          <c:smooth val="0"/>
        </c:ser>
        <c:ser>
          <c:idx val="7"/>
          <c:order val="1"/>
          <c:tx>
            <c:strRef>
              <c:f>Indices!$J$55</c:f>
              <c:strCache>
                <c:ptCount val="1"/>
                <c:pt idx="0">
                  <c:v>JPLL-S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Indices!$A$113:$A$149</c:f>
              <c:numCache>
                <c:formatCode>General</c:formatCode>
                <c:ptCount val="3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</c:numCache>
            </c:numRef>
          </c:xVal>
          <c:yVal>
            <c:numRef>
              <c:f>Indices!$J$113:$J$149</c:f>
              <c:numCache>
                <c:formatCode>0.0</c:formatCode>
                <c:ptCount val="37"/>
                <c:pt idx="16" formatCode="0.00">
                  <c:v>0.73115727002967346</c:v>
                </c:pt>
                <c:pt idx="17" formatCode="0.00">
                  <c:v>0.46765578635014832</c:v>
                </c:pt>
                <c:pt idx="18" formatCode="0.00">
                  <c:v>0.53095944609297729</c:v>
                </c:pt>
                <c:pt idx="19" formatCode="0.00">
                  <c:v>0.63857566765578622</c:v>
                </c:pt>
                <c:pt idx="20" formatCode="0.00">
                  <c:v>0.53175074183976256</c:v>
                </c:pt>
                <c:pt idx="21" formatCode="0.00">
                  <c:v>0.77942631058358058</c:v>
                </c:pt>
                <c:pt idx="22" formatCode="0.00">
                  <c:v>0.61008902077151328</c:v>
                </c:pt>
                <c:pt idx="23" formatCode="0.00">
                  <c:v>0.51355093966369925</c:v>
                </c:pt>
                <c:pt idx="24" formatCode="0.00">
                  <c:v>0.41622156280909983</c:v>
                </c:pt>
                <c:pt idx="25" formatCode="0.00">
                  <c:v>0.59188921859545007</c:v>
                </c:pt>
                <c:pt idx="26" formatCode="0.00">
                  <c:v>0.61088031651829866</c:v>
                </c:pt>
                <c:pt idx="27" formatCode="0.00">
                  <c:v>0.54282888229475756</c:v>
                </c:pt>
                <c:pt idx="28" formatCode="0.00">
                  <c:v>1.1853610286844707</c:v>
                </c:pt>
                <c:pt idx="29" formatCode="0.00">
                  <c:v>0.74381800197823933</c:v>
                </c:pt>
                <c:pt idx="30" formatCode="0.00">
                  <c:v>0.92502472799208701</c:v>
                </c:pt>
                <c:pt idx="31" formatCode="0.00">
                  <c:v>1.1679525222551927</c:v>
                </c:pt>
                <c:pt idx="32" formatCode="0.00">
                  <c:v>1.1632047477744805</c:v>
                </c:pt>
                <c:pt idx="33" formatCode="0.00">
                  <c:v>2.4941641938674577</c:v>
                </c:pt>
                <c:pt idx="34" formatCode="0.00">
                  <c:v>1.8856577645895152</c:v>
                </c:pt>
                <c:pt idx="35" formatCode="0.00">
                  <c:v>0.97091988130563789</c:v>
                </c:pt>
                <c:pt idx="36" formatCode="0.00">
                  <c:v>2.1681503461918892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Indices!$N$55</c:f>
              <c:strCache>
                <c:ptCount val="1"/>
                <c:pt idx="0">
                  <c:v>CH-TA-LLS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Indices!$A$113:$A$149</c:f>
              <c:numCache>
                <c:formatCode>General</c:formatCode>
                <c:ptCount val="3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</c:numCache>
            </c:numRef>
          </c:xVal>
          <c:yVal>
            <c:numRef>
              <c:f>Indices!$N$113:$N$149</c:f>
              <c:numCache>
                <c:formatCode>0.0</c:formatCode>
                <c:ptCount val="37"/>
                <c:pt idx="29" formatCode="0.00">
                  <c:v>0.89153551680136101</c:v>
                </c:pt>
                <c:pt idx="30" formatCode="0.00">
                  <c:v>1.1331348362398979</c:v>
                </c:pt>
                <c:pt idx="31" formatCode="0.00">
                  <c:v>0.85920884729902158</c:v>
                </c:pt>
                <c:pt idx="32" formatCode="0.00">
                  <c:v>1.1161207996597191</c:v>
                </c:pt>
                <c:pt idx="33" formatCode="0.00">
                  <c:v>1.2216078264568269</c:v>
                </c:pt>
                <c:pt idx="34" formatCode="0.00">
                  <c:v>1.156954487452148</c:v>
                </c:pt>
                <c:pt idx="35" formatCode="0.00">
                  <c:v>0.95959166312207556</c:v>
                </c:pt>
                <c:pt idx="36" formatCode="0.00">
                  <c:v>1.3526159081242024</c:v>
                </c:pt>
              </c:numCache>
            </c:numRef>
          </c:yVal>
          <c:smooth val="0"/>
        </c:ser>
        <c:ser>
          <c:idx val="0"/>
          <c:order val="3"/>
          <c:tx>
            <c:v>URU-LL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Indices!$A$117:$A$145</c:f>
              <c:numCache>
                <c:formatCode>General</c:formatCode>
                <c:ptCount val="29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</c:numCache>
            </c:numRef>
          </c:xVal>
          <c:yVal>
            <c:numRef>
              <c:f>Indices!$I$117:$I$145</c:f>
              <c:numCache>
                <c:formatCode>0.00</c:formatCode>
                <c:ptCount val="29"/>
                <c:pt idx="0">
                  <c:v>1.6160904996165149</c:v>
                </c:pt>
                <c:pt idx="1">
                  <c:v>0.62584232115505667</c:v>
                </c:pt>
                <c:pt idx="2">
                  <c:v>0.29707881956479393</c:v>
                </c:pt>
                <c:pt idx="3">
                  <c:v>0.22803752292825258</c:v>
                </c:pt>
                <c:pt idx="4">
                  <c:v>0.25779413899329306</c:v>
                </c:pt>
                <c:pt idx="5">
                  <c:v>0.48366257631137199</c:v>
                </c:pt>
                <c:pt idx="6">
                  <c:v>0.34871666944988106</c:v>
                </c:pt>
                <c:pt idx="7">
                  <c:v>0.53464706985380994</c:v>
                </c:pt>
                <c:pt idx="8">
                  <c:v>0.65335241989275195</c:v>
                </c:pt>
                <c:pt idx="9">
                  <c:v>0.63596698196979162</c:v>
                </c:pt>
                <c:pt idx="10">
                  <c:v>0.67065205895288904</c:v>
                </c:pt>
                <c:pt idx="11">
                  <c:v>0.80871242048623071</c:v>
                </c:pt>
                <c:pt idx="12">
                  <c:v>1.6488619576917602</c:v>
                </c:pt>
                <c:pt idx="13">
                  <c:v>1.4397988667090542</c:v>
                </c:pt>
                <c:pt idx="14">
                  <c:v>0.69955952137769484</c:v>
                </c:pt>
                <c:pt idx="15">
                  <c:v>0.99001029729081913</c:v>
                </c:pt>
                <c:pt idx="16">
                  <c:v>0.70850220763905236</c:v>
                </c:pt>
                <c:pt idx="17">
                  <c:v>0.98744182197544261</c:v>
                </c:pt>
                <c:pt idx="18">
                  <c:v>1.502931381271952</c:v>
                </c:pt>
                <c:pt idx="19">
                  <c:v>1.5555050838591706</c:v>
                </c:pt>
                <c:pt idx="20">
                  <c:v>1.1565397668451807</c:v>
                </c:pt>
                <c:pt idx="21">
                  <c:v>1.2807633351372971</c:v>
                </c:pt>
                <c:pt idx="22">
                  <c:v>1.1613808913442931</c:v>
                </c:pt>
                <c:pt idx="23">
                  <c:v>0.99021640128247157</c:v>
                </c:pt>
                <c:pt idx="24">
                  <c:v>1.0216103471718581</c:v>
                </c:pt>
                <c:pt idx="25">
                  <c:v>0.69437735715901561</c:v>
                </c:pt>
                <c:pt idx="26">
                  <c:v>0.68053778519236974</c:v>
                </c:pt>
                <c:pt idx="27">
                  <c:v>1.0626231832776774</c:v>
                </c:pt>
                <c:pt idx="28">
                  <c:v>1.5624616743709374</c:v>
                </c:pt>
              </c:numCache>
            </c:numRef>
          </c:yVal>
          <c:smooth val="0"/>
        </c:ser>
        <c:ser>
          <c:idx val="2"/>
          <c:order val="4"/>
          <c:tx>
            <c:v>URU-Obs</c:v>
          </c:tx>
          <c:marker>
            <c:symbol val="none"/>
          </c:marker>
          <c:xVal>
            <c:numRef>
              <c:f>Indices!$A$136:$A$147</c:f>
              <c:numCache>
                <c:formatCode>General</c:formatCode>
                <c:ptCount val="1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</c:numCache>
            </c:numRef>
          </c:xVal>
          <c:yVal>
            <c:numRef>
              <c:f>Indices!$L$136:$L$147</c:f>
              <c:numCache>
                <c:formatCode>0.00</c:formatCode>
                <c:ptCount val="12"/>
                <c:pt idx="0">
                  <c:v>0.6095890410958904</c:v>
                </c:pt>
                <c:pt idx="1">
                  <c:v>0.9452054794520548</c:v>
                </c:pt>
                <c:pt idx="2">
                  <c:v>1.1506849315068493</c:v>
                </c:pt>
                <c:pt idx="3">
                  <c:v>1.0753424657534247</c:v>
                </c:pt>
                <c:pt idx="4">
                  <c:v>0.56164383561643838</c:v>
                </c:pt>
                <c:pt idx="5">
                  <c:v>0.80821917808219179</c:v>
                </c:pt>
                <c:pt idx="6">
                  <c:v>0.51369863013698636</c:v>
                </c:pt>
                <c:pt idx="7">
                  <c:v>0.90410958904109595</c:v>
                </c:pt>
                <c:pt idx="8">
                  <c:v>0.79452054794520544</c:v>
                </c:pt>
                <c:pt idx="9">
                  <c:v>1.7876712328767124</c:v>
                </c:pt>
                <c:pt idx="10">
                  <c:v>0.81506849315068497</c:v>
                </c:pt>
                <c:pt idx="11">
                  <c:v>1.1849315068493151</c:v>
                </c:pt>
              </c:numCache>
            </c:numRef>
          </c:yVal>
          <c:smooth val="0"/>
        </c:ser>
        <c:ser>
          <c:idx val="5"/>
          <c:order val="6"/>
          <c:tx>
            <c:strRef>
              <c:f>Indices!$M$105</c:f>
              <c:strCache>
                <c:ptCount val="1"/>
                <c:pt idx="0">
                  <c:v>ESP-LL-S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Indices!$A$106:$A$150</c:f>
              <c:numCache>
                <c:formatCode>General</c:formatCode>
                <c:ptCount val="4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</c:numCache>
            </c:numRef>
          </c:xVal>
          <c:yVal>
            <c:numRef>
              <c:f>Indices!$M$106:$M$150</c:f>
              <c:numCache>
                <c:formatCode>0.0</c:formatCode>
                <c:ptCount val="45"/>
                <c:pt idx="19" formatCode="0.00">
                  <c:v>0.98530376965442446</c:v>
                </c:pt>
                <c:pt idx="20" formatCode="0.00">
                  <c:v>0.78086921781810914</c:v>
                </c:pt>
                <c:pt idx="21" formatCode="0.00">
                  <c:v>1.0331307251091515</c:v>
                </c:pt>
                <c:pt idx="22" formatCode="0.00">
                  <c:v>1.0814142624775276</c:v>
                </c:pt>
                <c:pt idx="23" formatCode="0.00">
                  <c:v>1.0746796792512057</c:v>
                </c:pt>
                <c:pt idx="24" formatCode="0.00">
                  <c:v>1.245327169477499</c:v>
                </c:pt>
                <c:pt idx="25" formatCode="0.00">
                  <c:v>1.4793254002225837</c:v>
                </c:pt>
                <c:pt idx="26" formatCode="0.00">
                  <c:v>1.0916873555346289</c:v>
                </c:pt>
                <c:pt idx="27" formatCode="0.00">
                  <c:v>0.86944610906600461</c:v>
                </c:pt>
                <c:pt idx="28" formatCode="0.00">
                  <c:v>0.69857032788288664</c:v>
                </c:pt>
                <c:pt idx="29" formatCode="0.00">
                  <c:v>1.0537910567017663</c:v>
                </c:pt>
                <c:pt idx="30" formatCode="0.00">
                  <c:v>1.3029706360756783</c:v>
                </c:pt>
                <c:pt idx="31" formatCode="0.00">
                  <c:v>1.2134805810004849</c:v>
                </c:pt>
                <c:pt idx="32" formatCode="0.00">
                  <c:v>1.1922495220158091</c:v>
                </c:pt>
                <c:pt idx="33" formatCode="0.00">
                  <c:v>1.1309534001084383</c:v>
                </c:pt>
                <c:pt idx="34" formatCode="0.00">
                  <c:v>1.240533059384185</c:v>
                </c:pt>
                <c:pt idx="35" formatCode="0.00">
                  <c:v>1.035756071112633</c:v>
                </c:pt>
                <c:pt idx="36" formatCode="0.00">
                  <c:v>0.96658391119481779</c:v>
                </c:pt>
                <c:pt idx="37" formatCode="0.00">
                  <c:v>0.85357988756670378</c:v>
                </c:pt>
                <c:pt idx="38" formatCode="0.00">
                  <c:v>1.0297063607567845</c:v>
                </c:pt>
                <c:pt idx="39" formatCode="0.00">
                  <c:v>1.150129840481694</c:v>
                </c:pt>
                <c:pt idx="40" formatCode="0.00">
                  <c:v>1.5298918471592045</c:v>
                </c:pt>
                <c:pt idx="41" formatCode="0.00">
                  <c:v>1.4271609165881916</c:v>
                </c:pt>
                <c:pt idx="42" formatCode="0.00">
                  <c:v>1.5255543189795393</c:v>
                </c:pt>
                <c:pt idx="43" formatCode="0.00">
                  <c:v>1.5043232599948635</c:v>
                </c:pt>
                <c:pt idx="44" formatCode="0.00">
                  <c:v>1.355934138058956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38688"/>
        <c:axId val="121940608"/>
      </c:scatterChart>
      <c:scatterChart>
        <c:scatterStyle val="lineMarker"/>
        <c:varyColors val="0"/>
        <c:ser>
          <c:idx val="3"/>
          <c:order val="5"/>
          <c:tx>
            <c:v>Catch</c:v>
          </c:tx>
          <c:spPr>
            <a:ln w="3175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Indices!$AE$28:$AE$72</c:f>
              <c:numCache>
                <c:formatCode>General</c:formatCode>
                <c:ptCount val="4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</c:numCache>
            </c:numRef>
          </c:xVal>
          <c:yVal>
            <c:numRef>
              <c:f>Indices!$AM$28:$AM$72</c:f>
              <c:numCache>
                <c:formatCode>0.0</c:formatCode>
                <c:ptCount val="45"/>
                <c:pt idx="0">
                  <c:v>97.326622683899487</c:v>
                </c:pt>
                <c:pt idx="1">
                  <c:v>60.328060680206733</c:v>
                </c:pt>
                <c:pt idx="2">
                  <c:v>211.75056007862219</c:v>
                </c:pt>
                <c:pt idx="3">
                  <c:v>67.161555506579603</c:v>
                </c:pt>
                <c:pt idx="4">
                  <c:v>76.129117269638527</c:v>
                </c:pt>
                <c:pt idx="5">
                  <c:v>30.105307010540979</c:v>
                </c:pt>
                <c:pt idx="6">
                  <c:v>252.25599422478831</c:v>
                </c:pt>
                <c:pt idx="7">
                  <c:v>168.22643198046174</c:v>
                </c:pt>
                <c:pt idx="8">
                  <c:v>299.49249217940087</c:v>
                </c:pt>
                <c:pt idx="9">
                  <c:v>323.62816375244989</c:v>
                </c:pt>
                <c:pt idx="10">
                  <c:v>375.09186516409255</c:v>
                </c:pt>
                <c:pt idx="11">
                  <c:v>973.61760968967326</c:v>
                </c:pt>
                <c:pt idx="12">
                  <c:v>511.63530075406169</c:v>
                </c:pt>
                <c:pt idx="13">
                  <c:v>744.77968047650052</c:v>
                </c:pt>
                <c:pt idx="14">
                  <c:v>785.54911654773707</c:v>
                </c:pt>
                <c:pt idx="15">
                  <c:v>608.78498869021041</c:v>
                </c:pt>
                <c:pt idx="16">
                  <c:v>386.1136732574858</c:v>
                </c:pt>
                <c:pt idx="17">
                  <c:v>1031.6646075239685</c:v>
                </c:pt>
                <c:pt idx="18">
                  <c:v>1545.6239824337313</c:v>
                </c:pt>
                <c:pt idx="19">
                  <c:v>1255.1049744928152</c:v>
                </c:pt>
                <c:pt idx="20">
                  <c:v>1061.6829802680268</c:v>
                </c:pt>
                <c:pt idx="21">
                  <c:v>1182.9735232616479</c:v>
                </c:pt>
                <c:pt idx="22">
                  <c:v>1742.9682822252576</c:v>
                </c:pt>
                <c:pt idx="23">
                  <c:v>2182.418663872767</c:v>
                </c:pt>
                <c:pt idx="24">
                  <c:v>3099.9820953719609</c:v>
                </c:pt>
                <c:pt idx="25">
                  <c:v>2426.8092215450511</c:v>
                </c:pt>
                <c:pt idx="26">
                  <c:v>2247.375188337583</c:v>
                </c:pt>
                <c:pt idx="27">
                  <c:v>2009.3971921877248</c:v>
                </c:pt>
                <c:pt idx="28">
                  <c:v>1606.5919999999999</c:v>
                </c:pt>
                <c:pt idx="29">
                  <c:v>2589.703</c:v>
                </c:pt>
                <c:pt idx="30">
                  <c:v>2107.5572999999999</c:v>
                </c:pt>
                <c:pt idx="31">
                  <c:v>2103.3270000000002</c:v>
                </c:pt>
                <c:pt idx="32">
                  <c:v>3235.6591000000008</c:v>
                </c:pt>
                <c:pt idx="33">
                  <c:v>2525.7092715773947</c:v>
                </c:pt>
                <c:pt idx="34">
                  <c:v>3258.9092351919967</c:v>
                </c:pt>
                <c:pt idx="35">
                  <c:v>3035.6881596818307</c:v>
                </c:pt>
                <c:pt idx="36">
                  <c:v>2786.008671000001</c:v>
                </c:pt>
                <c:pt idx="37">
                  <c:v>1929.07358</c:v>
                </c:pt>
                <c:pt idx="38">
                  <c:v>2086.9070000000002</c:v>
                </c:pt>
                <c:pt idx="39">
                  <c:v>2563.0035318314272</c:v>
                </c:pt>
                <c:pt idx="40">
                  <c:v>3334.3560731058542</c:v>
                </c:pt>
                <c:pt idx="41">
                  <c:v>2965.4303200000008</c:v>
                </c:pt>
                <c:pt idx="42">
                  <c:v>1972.2062000000005</c:v>
                </c:pt>
                <c:pt idx="43">
                  <c:v>3314.0802200000003</c:v>
                </c:pt>
                <c:pt idx="44">
                  <c:v>2686.16752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52896"/>
        <c:axId val="121950976"/>
      </c:scatterChart>
      <c:valAx>
        <c:axId val="121938688"/>
        <c:scaling>
          <c:orientation val="minMax"/>
          <c:max val="2016"/>
          <c:min val="1978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0"/>
                  <a:t>Year</a:t>
                </a:r>
              </a:p>
            </c:rich>
          </c:tx>
          <c:layout>
            <c:manualLayout>
              <c:xMode val="edge"/>
              <c:yMode val="edge"/>
              <c:x val="0.44479213309168075"/>
              <c:y val="0.897574187591371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940608"/>
        <c:crosses val="autoZero"/>
        <c:crossBetween val="midCat"/>
        <c:majorUnit val="2"/>
        <c:minorUnit val="1"/>
      </c:valAx>
      <c:valAx>
        <c:axId val="121940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0"/>
                  <a:t>Relative index</a:t>
                </a:r>
              </a:p>
            </c:rich>
          </c:tx>
          <c:layout>
            <c:manualLayout>
              <c:xMode val="edge"/>
              <c:yMode val="edge"/>
              <c:x val="4.6184738955823285E-3"/>
              <c:y val="0.369272190032849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938688"/>
        <c:crosses val="autoZero"/>
        <c:crossBetween val="midCat"/>
      </c:valAx>
      <c:valAx>
        <c:axId val="12195097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Catch (t)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1952896"/>
        <c:crosses val="max"/>
        <c:crossBetween val="midCat"/>
      </c:valAx>
      <c:valAx>
        <c:axId val="121952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95097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11168379554965267"/>
          <c:y val="7.2348008385744234E-2"/>
          <c:w val="0.7500600543263809"/>
          <c:h val="3.577196718334736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89" r="0.75000000000000189" t="1" header="0.5" footer="0.5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South Atlantic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069685039370078"/>
          <c:y val="0.24584499854184894"/>
          <c:w val="0.75891426071741031"/>
          <c:h val="0.54558253135024792"/>
        </c:manualLayout>
      </c:layout>
      <c:scatterChart>
        <c:scatterStyle val="lineMarker"/>
        <c:varyColors val="0"/>
        <c:ser>
          <c:idx val="4"/>
          <c:order val="0"/>
          <c:tx>
            <c:v>2012 catches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Indices!$AE$7:$AE$72</c:f>
              <c:numCache>
                <c:formatCode>General</c:formatCode>
                <c:ptCount val="66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</c:numCache>
            </c:numRef>
          </c:xVal>
          <c:yVal>
            <c:numRef>
              <c:f>Indices!$AK$7:$AK$72</c:f>
              <c:numCache>
                <c:formatCode>General</c:formatCode>
                <c:ptCount val="66"/>
                <c:pt idx="21">
                  <c:v>496</c:v>
                </c:pt>
                <c:pt idx="22">
                  <c:v>583</c:v>
                </c:pt>
                <c:pt idx="23">
                  <c:v>1180</c:v>
                </c:pt>
                <c:pt idx="24">
                  <c:v>503</c:v>
                </c:pt>
                <c:pt idx="25">
                  <c:v>487</c:v>
                </c:pt>
                <c:pt idx="26">
                  <c:v>629</c:v>
                </c:pt>
                <c:pt idx="27">
                  <c:v>624</c:v>
                </c:pt>
                <c:pt idx="28">
                  <c:v>655</c:v>
                </c:pt>
                <c:pt idx="29">
                  <c:v>630</c:v>
                </c:pt>
                <c:pt idx="30">
                  <c:v>1082</c:v>
                </c:pt>
                <c:pt idx="31">
                  <c:v>1011</c:v>
                </c:pt>
                <c:pt idx="32">
                  <c:v>2006</c:v>
                </c:pt>
                <c:pt idx="33">
                  <c:v>885</c:v>
                </c:pt>
                <c:pt idx="34">
                  <c:v>1156</c:v>
                </c:pt>
                <c:pt idx="35">
                  <c:v>1967</c:v>
                </c:pt>
                <c:pt idx="36">
                  <c:v>1121</c:v>
                </c:pt>
                <c:pt idx="37">
                  <c:v>940</c:v>
                </c:pt>
                <c:pt idx="38">
                  <c:v>1675</c:v>
                </c:pt>
                <c:pt idx="39">
                  <c:v>2296</c:v>
                </c:pt>
                <c:pt idx="40">
                  <c:v>2056</c:v>
                </c:pt>
                <c:pt idx="41">
                  <c:v>2197</c:v>
                </c:pt>
                <c:pt idx="42">
                  <c:v>1928</c:v>
                </c:pt>
                <c:pt idx="43">
                  <c:v>2290</c:v>
                </c:pt>
                <c:pt idx="44">
                  <c:v>2111</c:v>
                </c:pt>
                <c:pt idx="45">
                  <c:v>2700</c:v>
                </c:pt>
                <c:pt idx="46">
                  <c:v>2375</c:v>
                </c:pt>
                <c:pt idx="47">
                  <c:v>2253</c:v>
                </c:pt>
                <c:pt idx="48">
                  <c:v>1962</c:v>
                </c:pt>
                <c:pt idx="49">
                  <c:v>1609</c:v>
                </c:pt>
                <c:pt idx="50">
                  <c:v>2632</c:v>
                </c:pt>
                <c:pt idx="51">
                  <c:v>2282</c:v>
                </c:pt>
                <c:pt idx="52">
                  <c:v>2168</c:v>
                </c:pt>
                <c:pt idx="53">
                  <c:v>3382</c:v>
                </c:pt>
                <c:pt idx="54">
                  <c:v>2094</c:v>
                </c:pt>
                <c:pt idx="55">
                  <c:v>3162</c:v>
                </c:pt>
                <c:pt idx="56">
                  <c:v>3060</c:v>
                </c:pt>
                <c:pt idx="57">
                  <c:v>2854</c:v>
                </c:pt>
                <c:pt idx="58">
                  <c:v>1887</c:v>
                </c:pt>
                <c:pt idx="59">
                  <c:v>2040</c:v>
                </c:pt>
                <c:pt idx="60">
                  <c:v>2496</c:v>
                </c:pt>
              </c:numCache>
            </c:numRef>
          </c:yVal>
          <c:smooth val="0"/>
        </c:ser>
        <c:ser>
          <c:idx val="5"/>
          <c:order val="1"/>
          <c:tx>
            <c:v>2017 catches</c:v>
          </c:tx>
          <c:marker>
            <c:symbol val="none"/>
          </c:marker>
          <c:xVal>
            <c:numRef>
              <c:f>Indices!$AE$7:$AE$72</c:f>
              <c:numCache>
                <c:formatCode>General</c:formatCode>
                <c:ptCount val="66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</c:numCache>
            </c:numRef>
          </c:xVal>
          <c:yVal>
            <c:numRef>
              <c:f>Indices!$AM$7:$AM$72</c:f>
              <c:numCache>
                <c:formatCode>General</c:formatCode>
                <c:ptCount val="66"/>
                <c:pt idx="21" formatCode="0.0">
                  <c:v>97.326622683899487</c:v>
                </c:pt>
                <c:pt idx="22" formatCode="0.0">
                  <c:v>60.328060680206733</c:v>
                </c:pt>
                <c:pt idx="23" formatCode="0.0">
                  <c:v>211.75056007862219</c:v>
                </c:pt>
                <c:pt idx="24" formatCode="0.0">
                  <c:v>67.161555506579603</c:v>
                </c:pt>
                <c:pt idx="25" formatCode="0.0">
                  <c:v>76.129117269638527</c:v>
                </c:pt>
                <c:pt idx="26" formatCode="0.0">
                  <c:v>30.105307010540979</c:v>
                </c:pt>
                <c:pt idx="27" formatCode="0.0">
                  <c:v>252.25599422478831</c:v>
                </c:pt>
                <c:pt idx="28" formatCode="0.0">
                  <c:v>168.22643198046174</c:v>
                </c:pt>
                <c:pt idx="29" formatCode="0.0">
                  <c:v>299.49249217940087</c:v>
                </c:pt>
                <c:pt idx="30" formatCode="0.0">
                  <c:v>323.62816375244989</c:v>
                </c:pt>
                <c:pt idx="31" formatCode="0.0">
                  <c:v>375.09186516409255</c:v>
                </c:pt>
                <c:pt idx="32" formatCode="0.0">
                  <c:v>973.61760968967326</c:v>
                </c:pt>
                <c:pt idx="33" formatCode="0.0">
                  <c:v>511.63530075406169</c:v>
                </c:pt>
                <c:pt idx="34" formatCode="0.0">
                  <c:v>744.77968047650052</c:v>
                </c:pt>
                <c:pt idx="35" formatCode="0.0">
                  <c:v>785.54911654773707</c:v>
                </c:pt>
                <c:pt idx="36" formatCode="0.0">
                  <c:v>608.78498869021041</c:v>
                </c:pt>
                <c:pt idx="37" formatCode="0.0">
                  <c:v>386.1136732574858</c:v>
                </c:pt>
                <c:pt idx="38" formatCode="0.0">
                  <c:v>1031.6646075239685</c:v>
                </c:pt>
                <c:pt idx="39" formatCode="0.0">
                  <c:v>1545.6239824337313</c:v>
                </c:pt>
                <c:pt idx="40" formatCode="0.0">
                  <c:v>1255.1049744928152</c:v>
                </c:pt>
                <c:pt idx="41" formatCode="0.0">
                  <c:v>1061.6829802680268</c:v>
                </c:pt>
                <c:pt idx="42" formatCode="0.0">
                  <c:v>1182.9735232616479</c:v>
                </c:pt>
                <c:pt idx="43" formatCode="0.0">
                  <c:v>1742.9682822252576</c:v>
                </c:pt>
                <c:pt idx="44" formatCode="0.0">
                  <c:v>2182.418663872767</c:v>
                </c:pt>
                <c:pt idx="45" formatCode="0.0">
                  <c:v>3099.9820953719609</c:v>
                </c:pt>
                <c:pt idx="46" formatCode="0.0">
                  <c:v>2426.8092215450511</c:v>
                </c:pt>
                <c:pt idx="47" formatCode="0.0">
                  <c:v>2247.375188337583</c:v>
                </c:pt>
                <c:pt idx="48" formatCode="0.0">
                  <c:v>2009.3971921877248</c:v>
                </c:pt>
                <c:pt idx="49" formatCode="0.0">
                  <c:v>1606.5919999999999</c:v>
                </c:pt>
                <c:pt idx="50" formatCode="0.0">
                  <c:v>2589.703</c:v>
                </c:pt>
                <c:pt idx="51" formatCode="0.0">
                  <c:v>2107.5572999999999</c:v>
                </c:pt>
                <c:pt idx="52" formatCode="0.0">
                  <c:v>2103.3270000000002</c:v>
                </c:pt>
                <c:pt idx="53" formatCode="0.0">
                  <c:v>3235.6591000000008</c:v>
                </c:pt>
                <c:pt idx="54" formatCode="0.0">
                  <c:v>2525.7092715773947</c:v>
                </c:pt>
                <c:pt idx="55" formatCode="0.0">
                  <c:v>3258.9092351919967</c:v>
                </c:pt>
                <c:pt idx="56" formatCode="0.0">
                  <c:v>3035.6881596818307</c:v>
                </c:pt>
                <c:pt idx="57" formatCode="0.0">
                  <c:v>2786.008671000001</c:v>
                </c:pt>
                <c:pt idx="58" formatCode="0.0">
                  <c:v>1929.07358</c:v>
                </c:pt>
                <c:pt idx="59" formatCode="0.0">
                  <c:v>2086.9070000000002</c:v>
                </c:pt>
                <c:pt idx="60" formatCode="0.0">
                  <c:v>2563.0035318314272</c:v>
                </c:pt>
                <c:pt idx="61" formatCode="0.0">
                  <c:v>3334.3560731058542</c:v>
                </c:pt>
                <c:pt idx="62" formatCode="0.0">
                  <c:v>2965.4303200000008</c:v>
                </c:pt>
                <c:pt idx="63" formatCode="0.0">
                  <c:v>1972.2062000000005</c:v>
                </c:pt>
                <c:pt idx="64" formatCode="0.0">
                  <c:v>3314.0802200000003</c:v>
                </c:pt>
                <c:pt idx="65" formatCode="0.0">
                  <c:v>2686.16752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0240"/>
        <c:axId val="122492032"/>
      </c:scatterChart>
      <c:valAx>
        <c:axId val="12249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492032"/>
        <c:crosses val="autoZero"/>
        <c:crossBetween val="midCat"/>
      </c:valAx>
      <c:valAx>
        <c:axId val="12249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49024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24239982502187227"/>
          <c:y val="0.13425925925925927"/>
          <c:w val="0.51520034995625552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51677852348994"/>
          <c:y val="7.1428667245271776E-2"/>
          <c:w val="0.79865771812080533"/>
          <c:h val="0.7390119803453119"/>
        </c:manualLayout>
      </c:layout>
      <c:lineChart>
        <c:grouping val="standard"/>
        <c:varyColors val="0"/>
        <c:ser>
          <c:idx val="0"/>
          <c:order val="0"/>
          <c:tx>
            <c:strRef>
              <c:f>'M and steepness'!$B$3</c:f>
              <c:strCache>
                <c:ptCount val="1"/>
                <c:pt idx="0">
                  <c:v>2012 M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'M and steepness'!$A$4:$A$36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'M and steepness'!$B$4:$B$36</c:f>
              <c:numCache>
                <c:formatCode>General</c:formatCode>
                <c:ptCount val="33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'M and steepness'!$C$3</c:f>
              <c:strCache>
                <c:ptCount val="1"/>
                <c:pt idx="0">
                  <c:v>Females_M1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'M and steepness'!$C$4:$C$36</c:f>
              <c:numCache>
                <c:formatCode>0.000</c:formatCode>
                <c:ptCount val="33"/>
                <c:pt idx="0">
                  <c:v>6.8105822993048015E-2</c:v>
                </c:pt>
                <c:pt idx="1">
                  <c:v>6.8105822993048015E-2</c:v>
                </c:pt>
                <c:pt idx="2">
                  <c:v>6.8105822993048015E-2</c:v>
                </c:pt>
                <c:pt idx="3">
                  <c:v>6.8105822993048015E-2</c:v>
                </c:pt>
                <c:pt idx="4">
                  <c:v>6.8105822993048015E-2</c:v>
                </c:pt>
                <c:pt idx="5">
                  <c:v>6.8105822993048015E-2</c:v>
                </c:pt>
                <c:pt idx="6">
                  <c:v>6.8105822993048015E-2</c:v>
                </c:pt>
                <c:pt idx="7">
                  <c:v>6.8105822993048015E-2</c:v>
                </c:pt>
                <c:pt idx="8">
                  <c:v>6.8105822993048015E-2</c:v>
                </c:pt>
                <c:pt idx="9">
                  <c:v>6.8105822993048015E-2</c:v>
                </c:pt>
                <c:pt idx="10">
                  <c:v>6.8105822993048015E-2</c:v>
                </c:pt>
                <c:pt idx="11">
                  <c:v>6.8105822993048015E-2</c:v>
                </c:pt>
                <c:pt idx="12">
                  <c:v>6.8105822993048015E-2</c:v>
                </c:pt>
                <c:pt idx="13">
                  <c:v>6.8105822993048015E-2</c:v>
                </c:pt>
                <c:pt idx="14">
                  <c:v>6.8105822993048015E-2</c:v>
                </c:pt>
                <c:pt idx="15">
                  <c:v>6.8105822993048015E-2</c:v>
                </c:pt>
                <c:pt idx="16">
                  <c:v>6.8105822993048015E-2</c:v>
                </c:pt>
                <c:pt idx="17">
                  <c:v>6.8105822993048015E-2</c:v>
                </c:pt>
                <c:pt idx="18">
                  <c:v>6.8105822993048015E-2</c:v>
                </c:pt>
                <c:pt idx="19">
                  <c:v>6.8105822993048015E-2</c:v>
                </c:pt>
                <c:pt idx="20">
                  <c:v>6.8105822993048015E-2</c:v>
                </c:pt>
                <c:pt idx="21">
                  <c:v>6.8105822993048015E-2</c:v>
                </c:pt>
                <c:pt idx="22">
                  <c:v>6.8105822993048015E-2</c:v>
                </c:pt>
                <c:pt idx="23">
                  <c:v>6.8105822993048015E-2</c:v>
                </c:pt>
                <c:pt idx="24">
                  <c:v>6.8105822993048015E-2</c:v>
                </c:pt>
                <c:pt idx="25">
                  <c:v>6.8105822993048015E-2</c:v>
                </c:pt>
                <c:pt idx="26">
                  <c:v>6.8105822993048015E-2</c:v>
                </c:pt>
                <c:pt idx="27">
                  <c:v>6.8105822993048015E-2</c:v>
                </c:pt>
                <c:pt idx="28">
                  <c:v>6.8105822993048015E-2</c:v>
                </c:pt>
                <c:pt idx="29">
                  <c:v>6.8105822993048015E-2</c:v>
                </c:pt>
                <c:pt idx="30">
                  <c:v>6.8105822993048015E-2</c:v>
                </c:pt>
                <c:pt idx="31">
                  <c:v>6.8105822993048015E-2</c:v>
                </c:pt>
                <c:pt idx="32">
                  <c:v>6.8105822993048001E-2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'M and steepness'!$D$3</c:f>
              <c:strCache>
                <c:ptCount val="1"/>
                <c:pt idx="0">
                  <c:v>Males_M1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ysDash"/>
            </a:ln>
          </c:spPr>
          <c:marker>
            <c:symbol val="none"/>
          </c:marker>
          <c:val>
            <c:numRef>
              <c:f>'M and steepness'!$D$4:$D$36</c:f>
              <c:numCache>
                <c:formatCode>0.000</c:formatCode>
                <c:ptCount val="33"/>
                <c:pt idx="0">
                  <c:v>0.14528843280382456</c:v>
                </c:pt>
                <c:pt idx="1">
                  <c:v>0.14528843280382456</c:v>
                </c:pt>
                <c:pt idx="2">
                  <c:v>0.14528843280382456</c:v>
                </c:pt>
                <c:pt idx="3">
                  <c:v>0.14528843280382456</c:v>
                </c:pt>
                <c:pt idx="4">
                  <c:v>0.14483167409822129</c:v>
                </c:pt>
                <c:pt idx="5">
                  <c:v>0.13530739713400569</c:v>
                </c:pt>
                <c:pt idx="6">
                  <c:v>0.12800305707817008</c:v>
                </c:pt>
                <c:pt idx="7">
                  <c:v>0.122258738058969</c:v>
                </c:pt>
                <c:pt idx="8">
                  <c:v>0.11765266471812712</c:v>
                </c:pt>
                <c:pt idx="9">
                  <c:v>0.11390211989115011</c:v>
                </c:pt>
                <c:pt idx="10">
                  <c:v>0.11081019486117499</c:v>
                </c:pt>
                <c:pt idx="11">
                  <c:v>0.10823535675823368</c:v>
                </c:pt>
                <c:pt idx="12">
                  <c:v>0.10607316172072709</c:v>
                </c:pt>
                <c:pt idx="13">
                  <c:v>0.10424479796033276</c:v>
                </c:pt>
                <c:pt idx="14">
                  <c:v>0.10268964963606167</c:v>
                </c:pt>
                <c:pt idx="15">
                  <c:v>0.10136032174405535</c:v>
                </c:pt>
                <c:pt idx="16">
                  <c:v>0.10021922260620668</c:v>
                </c:pt>
                <c:pt idx="17">
                  <c:v>9.923616131495018E-2</c:v>
                </c:pt>
                <c:pt idx="18">
                  <c:v>9.8351470342031552E-2</c:v>
                </c:pt>
                <c:pt idx="19">
                  <c:v>9.7454475475651697E-2</c:v>
                </c:pt>
                <c:pt idx="20">
                  <c:v>9.6676653750748229E-2</c:v>
                </c:pt>
                <c:pt idx="21">
                  <c:v>9.6000691469810676E-2</c:v>
                </c:pt>
                <c:pt idx="22">
                  <c:v>9.5412129713723468E-2</c:v>
                </c:pt>
                <c:pt idx="23">
                  <c:v>9.4898817561558602E-2</c:v>
                </c:pt>
                <c:pt idx="24">
                  <c:v>9.4450486621323188E-2</c:v>
                </c:pt>
                <c:pt idx="25">
                  <c:v>9.4058416356463545E-2</c:v>
                </c:pt>
                <c:pt idx="26">
                  <c:v>9.3715168190158946E-2</c:v>
                </c:pt>
                <c:pt idx="27">
                  <c:v>9.3414372293858225E-2</c:v>
                </c:pt>
                <c:pt idx="28">
                  <c:v>9.315055515507295E-2</c:v>
                </c:pt>
                <c:pt idx="29">
                  <c:v>9.2918999019060602E-2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'M and steepness'!$E$3</c:f>
              <c:strCache>
                <c:ptCount val="1"/>
                <c:pt idx="0">
                  <c:v>Females_M2</c:v>
                </c:pt>
              </c:strCache>
            </c:strRef>
          </c:tx>
          <c:spPr>
            <a:ln w="25400"/>
          </c:spPr>
          <c:marker>
            <c:symbol val="none"/>
          </c:marker>
          <c:val>
            <c:numRef>
              <c:f>'M and steepness'!$E$4:$E$36</c:f>
              <c:numCache>
                <c:formatCode>0.000</c:formatCode>
                <c:ptCount val="33"/>
                <c:pt idx="0">
                  <c:v>9.8761263745903563E-2</c:v>
                </c:pt>
                <c:pt idx="1">
                  <c:v>9.8761263745903563E-2</c:v>
                </c:pt>
                <c:pt idx="2">
                  <c:v>9.8761263745903563E-2</c:v>
                </c:pt>
                <c:pt idx="3">
                  <c:v>9.8761263745903563E-2</c:v>
                </c:pt>
                <c:pt idx="4">
                  <c:v>9.8761263745903563E-2</c:v>
                </c:pt>
                <c:pt idx="5">
                  <c:v>9.8761263745903563E-2</c:v>
                </c:pt>
                <c:pt idx="6">
                  <c:v>9.8761263745903563E-2</c:v>
                </c:pt>
                <c:pt idx="7">
                  <c:v>9.8761263745903563E-2</c:v>
                </c:pt>
                <c:pt idx="8">
                  <c:v>9.8761263745903563E-2</c:v>
                </c:pt>
                <c:pt idx="9">
                  <c:v>9.8761263745903563E-2</c:v>
                </c:pt>
                <c:pt idx="10">
                  <c:v>9.8761263745903563E-2</c:v>
                </c:pt>
                <c:pt idx="11">
                  <c:v>9.8761263745903563E-2</c:v>
                </c:pt>
                <c:pt idx="12">
                  <c:v>9.8761263745903563E-2</c:v>
                </c:pt>
                <c:pt idx="13">
                  <c:v>9.8761263745903563E-2</c:v>
                </c:pt>
                <c:pt idx="14">
                  <c:v>9.5896879944397592E-2</c:v>
                </c:pt>
                <c:pt idx="15">
                  <c:v>9.2733279954026082E-2</c:v>
                </c:pt>
                <c:pt idx="16">
                  <c:v>8.992504916353404E-2</c:v>
                </c:pt>
                <c:pt idx="17">
                  <c:v>8.7425579366535347E-2</c:v>
                </c:pt>
                <c:pt idx="18">
                  <c:v>8.5195451119942742E-2</c:v>
                </c:pt>
                <c:pt idx="19">
                  <c:v>8.3201154715274117E-2</c:v>
                </c:pt>
                <c:pt idx="20">
                  <c:v>8.1414066522903977E-2</c:v>
                </c:pt>
                <c:pt idx="21">
                  <c:v>7.9809624750515562E-2</c:v>
                </c:pt>
                <c:pt idx="22">
                  <c:v>7.8366661914355359E-2</c:v>
                </c:pt>
                <c:pt idx="23">
                  <c:v>7.706686121835124E-2</c:v>
                </c:pt>
                <c:pt idx="24">
                  <c:v>7.5894311476256984E-2</c:v>
                </c:pt>
                <c:pt idx="25">
                  <c:v>7.4835140843467873E-2</c:v>
                </c:pt>
                <c:pt idx="26">
                  <c:v>7.3877213915498091E-2</c:v>
                </c:pt>
                <c:pt idx="27">
                  <c:v>7.3009880039137887E-2</c:v>
                </c:pt>
                <c:pt idx="28">
                  <c:v>7.2223763218859746E-2</c:v>
                </c:pt>
                <c:pt idx="29">
                  <c:v>7.1510585968518739E-2</c:v>
                </c:pt>
                <c:pt idx="30">
                  <c:v>7.0863020992914208E-2</c:v>
                </c:pt>
                <c:pt idx="31">
                  <c:v>7.0274565786950821E-2</c:v>
                </c:pt>
                <c:pt idx="32">
                  <c:v>6.9739436188339304E-2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'M and steepness'!$F$3</c:f>
              <c:strCache>
                <c:ptCount val="1"/>
                <c:pt idx="0">
                  <c:v>Females_M3</c:v>
                </c:pt>
              </c:strCache>
            </c:strRef>
          </c:tx>
          <c:spPr>
            <a:ln w="25400"/>
          </c:spPr>
          <c:marker>
            <c:symbol val="none"/>
          </c:marker>
          <c:val>
            <c:numRef>
              <c:f>'M and steepness'!$F$4:$F$36</c:f>
              <c:numCache>
                <c:formatCode>0.000</c:formatCode>
                <c:ptCount val="33"/>
                <c:pt idx="0">
                  <c:v>8.0058932030593388E-2</c:v>
                </c:pt>
                <c:pt idx="1">
                  <c:v>8.0058932030593388E-2</c:v>
                </c:pt>
                <c:pt idx="2">
                  <c:v>8.0058932030593388E-2</c:v>
                </c:pt>
                <c:pt idx="3">
                  <c:v>8.0058932030593388E-2</c:v>
                </c:pt>
                <c:pt idx="4">
                  <c:v>8.0058932030593388E-2</c:v>
                </c:pt>
                <c:pt idx="5">
                  <c:v>8.0058932030593388E-2</c:v>
                </c:pt>
                <c:pt idx="6">
                  <c:v>8.0058932030593388E-2</c:v>
                </c:pt>
                <c:pt idx="7">
                  <c:v>8.0058932030593388E-2</c:v>
                </c:pt>
                <c:pt idx="8">
                  <c:v>8.0058932030593388E-2</c:v>
                </c:pt>
                <c:pt idx="9">
                  <c:v>8.0058932030593388E-2</c:v>
                </c:pt>
                <c:pt idx="10">
                  <c:v>8.0058932030593388E-2</c:v>
                </c:pt>
                <c:pt idx="11">
                  <c:v>8.0058932030593388E-2</c:v>
                </c:pt>
                <c:pt idx="12">
                  <c:v>8.0058932030593388E-2</c:v>
                </c:pt>
                <c:pt idx="13">
                  <c:v>8.0058932030593388E-2</c:v>
                </c:pt>
                <c:pt idx="14">
                  <c:v>8.0058932030593388E-2</c:v>
                </c:pt>
                <c:pt idx="15">
                  <c:v>8.0058932030593388E-2</c:v>
                </c:pt>
                <c:pt idx="16">
                  <c:v>8.0058932030593388E-2</c:v>
                </c:pt>
                <c:pt idx="17">
                  <c:v>8.0058932030593388E-2</c:v>
                </c:pt>
                <c:pt idx="18">
                  <c:v>8.0058932030593388E-2</c:v>
                </c:pt>
                <c:pt idx="19">
                  <c:v>8.0058932030593388E-2</c:v>
                </c:pt>
                <c:pt idx="20">
                  <c:v>8.0058932030593388E-2</c:v>
                </c:pt>
                <c:pt idx="21">
                  <c:v>8.0058932030593388E-2</c:v>
                </c:pt>
                <c:pt idx="22">
                  <c:v>8.0058932030593388E-2</c:v>
                </c:pt>
                <c:pt idx="23">
                  <c:v>8.0058932030593388E-2</c:v>
                </c:pt>
                <c:pt idx="24">
                  <c:v>8.0058932030593388E-2</c:v>
                </c:pt>
                <c:pt idx="25">
                  <c:v>7.9463015121795891E-2</c:v>
                </c:pt>
                <c:pt idx="26">
                  <c:v>7.8537489369529881E-2</c:v>
                </c:pt>
                <c:pt idx="27">
                  <c:v>7.7689142248065876E-2</c:v>
                </c:pt>
                <c:pt idx="28">
                  <c:v>7.6910234291359236E-2</c:v>
                </c:pt>
                <c:pt idx="29">
                  <c:v>7.6193981615026052E-2</c:v>
                </c:pt>
                <c:pt idx="30">
                  <c:v>7.5534413058793368E-2</c:v>
                </c:pt>
                <c:pt idx="31">
                  <c:v>7.4926252315742806E-2</c:v>
                </c:pt>
                <c:pt idx="32">
                  <c:v>7.4364820086251851E-2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'M and steepness'!$G$3</c:f>
              <c:strCache>
                <c:ptCount val="1"/>
                <c:pt idx="0">
                  <c:v>Males_M3</c:v>
                </c:pt>
              </c:strCache>
            </c:strRef>
          </c:tx>
          <c:spPr>
            <a:ln w="25400">
              <a:solidFill>
                <a:schemeClr val="accent5">
                  <a:shade val="95000"/>
                  <a:satMod val="105000"/>
                </a:schemeClr>
              </a:solidFill>
              <a:prstDash val="sysDash"/>
            </a:ln>
          </c:spPr>
          <c:marker>
            <c:symbol val="none"/>
          </c:marker>
          <c:val>
            <c:numRef>
              <c:f>'M and steepness'!$G$4:$G$33</c:f>
              <c:numCache>
                <c:formatCode>0.000</c:formatCode>
                <c:ptCount val="30"/>
                <c:pt idx="0">
                  <c:v>0.15690224857817242</c:v>
                </c:pt>
                <c:pt idx="1">
                  <c:v>0.15690224857817242</c:v>
                </c:pt>
                <c:pt idx="2">
                  <c:v>0.15690224857817242</c:v>
                </c:pt>
                <c:pt idx="3">
                  <c:v>0.15690224857817242</c:v>
                </c:pt>
                <c:pt idx="4">
                  <c:v>0.14899502153246938</c:v>
                </c:pt>
                <c:pt idx="5">
                  <c:v>0.13868659136580269</c:v>
                </c:pt>
                <c:pt idx="6">
                  <c:v>0.13091884036685997</c:v>
                </c:pt>
                <c:pt idx="7">
                  <c:v>0.12489949759404696</c:v>
                </c:pt>
                <c:pt idx="8">
                  <c:v>0.12013462105740659</c:v>
                </c:pt>
                <c:pt idx="9">
                  <c:v>0.11629956479054855</c:v>
                </c:pt>
                <c:pt idx="10">
                  <c:v>0.11317180076816616</c:v>
                </c:pt>
                <c:pt idx="11">
                  <c:v>0.11059349210886345</c:v>
                </c:pt>
                <c:pt idx="12">
                  <c:v>0.10844946912857531</c:v>
                </c:pt>
                <c:pt idx="13">
                  <c:v>0.10665367035800929</c:v>
                </c:pt>
                <c:pt idx="14">
                  <c:v>0.10514047167749538</c:v>
                </c:pt>
                <c:pt idx="15">
                  <c:v>0.10385895842203634</c:v>
                </c:pt>
                <c:pt idx="16">
                  <c:v>0.10276903377818514</c:v>
                </c:pt>
                <c:pt idx="17">
                  <c:v>0.10183870895443023</c:v>
                </c:pt>
                <c:pt idx="18">
                  <c:v>0.10104217478351475</c:v>
                </c:pt>
                <c:pt idx="19">
                  <c:v>0.10035840255739974</c:v>
                </c:pt>
                <c:pt idx="20">
                  <c:v>9.977011102401466E-2</c:v>
                </c:pt>
                <c:pt idx="21">
                  <c:v>9.9262991628223024E-2</c:v>
                </c:pt>
                <c:pt idx="22">
                  <c:v>9.8825119075962017E-2</c:v>
                </c:pt>
                <c:pt idx="23">
                  <c:v>9.8424494590979697E-2</c:v>
                </c:pt>
                <c:pt idx="24">
                  <c:v>9.8024822631969571E-2</c:v>
                </c:pt>
                <c:pt idx="25">
                  <c:v>9.7678673198336119E-2</c:v>
                </c:pt>
                <c:pt idx="26">
                  <c:v>9.7378574699207784E-2</c:v>
                </c:pt>
                <c:pt idx="27">
                  <c:v>9.7118171916018958E-2</c:v>
                </c:pt>
                <c:pt idx="28">
                  <c:v>9.6892041760023168E-2</c:v>
                </c:pt>
                <c:pt idx="29">
                  <c:v>9.6695543464873746E-2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39264"/>
        <c:axId val="123068416"/>
      </c:lineChart>
      <c:catAx>
        <c:axId val="122939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b="0"/>
                  <a:t>Age (years)</a:t>
                </a:r>
              </a:p>
            </c:rich>
          </c:tx>
          <c:layout>
            <c:manualLayout>
              <c:xMode val="edge"/>
              <c:yMode val="edge"/>
              <c:x val="0.50335570469798663"/>
              <c:y val="0.921246574947362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06841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23068416"/>
        <c:scaling>
          <c:orientation val="minMax"/>
          <c:max val="0.2"/>
          <c:min val="6.0000000000000012E-2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b="0"/>
                  <a:t>M at age</a:t>
                </a:r>
              </a:p>
            </c:rich>
          </c:tx>
          <c:layout>
            <c:manualLayout>
              <c:xMode val="edge"/>
              <c:yMode val="edge"/>
              <c:x val="1.7897091722595078E-2"/>
              <c:y val="0.359890686741080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939264"/>
        <c:crosses val="autoZero"/>
        <c:crossBetween val="between"/>
        <c:majorUnit val="1.0000000000000002E-2"/>
        <c:minorUnit val="1.0000000000000002E-3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9586129753914991"/>
          <c:y val="7.4175824175824176E-2"/>
          <c:w val="0.50914988814317674"/>
          <c:h val="9.916875775143491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114300</xdr:rowOff>
    </xdr:from>
    <xdr:to>
      <xdr:col>0</xdr:col>
      <xdr:colOff>0</xdr:colOff>
      <xdr:row>1</xdr:row>
      <xdr:rowOff>0</xdr:rowOff>
    </xdr:to>
    <xdr:sp macro="" textlink="">
      <xdr:nvSpPr>
        <xdr:cNvPr id="2" name="TextBox 1"/>
        <xdr:cNvSpPr txBox="1"/>
      </xdr:nvSpPr>
      <xdr:spPr>
        <a:xfrm>
          <a:off x="66675" y="114300"/>
          <a:ext cx="9124950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North Atlantic (&gt; 5 N) shortfin mako (SMA-N) catch in metric tons</a:t>
          </a:r>
          <a:r>
            <a:rPr lang="en-US" sz="1100" baseline="0"/>
            <a:t> (t) was obtained from data compiled during the 2017 shortfin mako Data Preparatory meeting and assigned to "fleets " F1 - F9 for use in Stock Synthesis  (+ F10 = Other)</a:t>
          </a:r>
        </a:p>
        <a:p>
          <a:r>
            <a:rPr lang="en-US" sz="1100" baseline="0"/>
            <a:t>Will try to assign "Other" to a length comp  (e.g., NA-NW, NA-SW, NA-NE, NA-SE)</a:t>
          </a:r>
          <a:endParaRPr lang="en-US" sz="1100"/>
        </a:p>
      </xdr:txBody>
    </xdr:sp>
    <xdr:clientData/>
  </xdr:twoCellAnchor>
  <xdr:twoCellAnchor>
    <xdr:from>
      <xdr:col>17</xdr:col>
      <xdr:colOff>723900</xdr:colOff>
      <xdr:row>79</xdr:row>
      <xdr:rowOff>33337</xdr:rowOff>
    </xdr:from>
    <xdr:to>
      <xdr:col>25</xdr:col>
      <xdr:colOff>180975</xdr:colOff>
      <xdr:row>93</xdr:row>
      <xdr:rowOff>109537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57</xdr:row>
      <xdr:rowOff>0</xdr:rowOff>
    </xdr:from>
    <xdr:to>
      <xdr:col>29</xdr:col>
      <xdr:colOff>352425</xdr:colOff>
      <xdr:row>71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38103</xdr:colOff>
      <xdr:row>40</xdr:row>
      <xdr:rowOff>11907</xdr:rowOff>
    </xdr:from>
    <xdr:to>
      <xdr:col>48</xdr:col>
      <xdr:colOff>464344</xdr:colOff>
      <xdr:row>56</xdr:row>
      <xdr:rowOff>35719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535780</xdr:colOff>
      <xdr:row>103</xdr:row>
      <xdr:rowOff>83344</xdr:rowOff>
    </xdr:from>
    <xdr:to>
      <xdr:col>28</xdr:col>
      <xdr:colOff>21430</xdr:colOff>
      <xdr:row>139</xdr:row>
      <xdr:rowOff>140494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297656</xdr:colOff>
      <xdr:row>103</xdr:row>
      <xdr:rowOff>95250</xdr:rowOff>
    </xdr:from>
    <xdr:to>
      <xdr:col>43</xdr:col>
      <xdr:colOff>569119</xdr:colOff>
      <xdr:row>139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59533</xdr:colOff>
      <xdr:row>3</xdr:row>
      <xdr:rowOff>158351</xdr:rowOff>
    </xdr:from>
    <xdr:to>
      <xdr:col>47</xdr:col>
      <xdr:colOff>476251</xdr:colOff>
      <xdr:row>20</xdr:row>
      <xdr:rowOff>67864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107155</xdr:colOff>
      <xdr:row>141</xdr:row>
      <xdr:rowOff>71437</xdr:rowOff>
    </xdr:from>
    <xdr:to>
      <xdr:col>28</xdr:col>
      <xdr:colOff>69055</xdr:colOff>
      <xdr:row>177</xdr:row>
      <xdr:rowOff>128587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392906</xdr:colOff>
      <xdr:row>141</xdr:row>
      <xdr:rowOff>83344</xdr:rowOff>
    </xdr:from>
    <xdr:to>
      <xdr:col>43</xdr:col>
      <xdr:colOff>664369</xdr:colOff>
      <xdr:row>177</xdr:row>
      <xdr:rowOff>140494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0</xdr:colOff>
      <xdr:row>22</xdr:row>
      <xdr:rowOff>0</xdr:rowOff>
    </xdr:from>
    <xdr:to>
      <xdr:col>47</xdr:col>
      <xdr:colOff>416718</xdr:colOff>
      <xdr:row>38</xdr:row>
      <xdr:rowOff>76200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314325</xdr:colOff>
          <xdr:row>72</xdr:row>
          <xdr:rowOff>123825</xdr:rowOff>
        </xdr:from>
        <xdr:to>
          <xdr:col>4</xdr:col>
          <xdr:colOff>609600</xdr:colOff>
          <xdr:row>76</xdr:row>
          <xdr:rowOff>95250</xdr:rowOff>
        </xdr:to>
        <xdr:sp macro="" textlink="">
          <xdr:nvSpPr>
            <xdr:cNvPr id="6145" name="Object 2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59</xdr:row>
          <xdr:rowOff>123825</xdr:rowOff>
        </xdr:from>
        <xdr:to>
          <xdr:col>9</xdr:col>
          <xdr:colOff>0</xdr:colOff>
          <xdr:row>62</xdr:row>
          <xdr:rowOff>28575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53</xdr:row>
          <xdr:rowOff>9525</xdr:rowOff>
        </xdr:from>
        <xdr:to>
          <xdr:col>8</xdr:col>
          <xdr:colOff>581025</xdr:colOff>
          <xdr:row>58</xdr:row>
          <xdr:rowOff>114300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1</xdr:row>
      <xdr:rowOff>95250</xdr:rowOff>
    </xdr:from>
    <xdr:to>
      <xdr:col>18</xdr:col>
      <xdr:colOff>152400</xdr:colOff>
      <xdr:row>23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266701</xdr:colOff>
      <xdr:row>24</xdr:row>
      <xdr:rowOff>95253</xdr:rowOff>
    </xdr:from>
    <xdr:to>
      <xdr:col>19</xdr:col>
      <xdr:colOff>457201</xdr:colOff>
      <xdr:row>26</xdr:row>
      <xdr:rowOff>142878</xdr:rowOff>
    </xdr:to>
    <xdr:sp macro="" textlink="">
      <xdr:nvSpPr>
        <xdr:cNvPr id="3" name="Right Arrow 2"/>
        <xdr:cNvSpPr/>
      </xdr:nvSpPr>
      <xdr:spPr>
        <a:xfrm rot="19446115">
          <a:off x="11620501" y="4038603"/>
          <a:ext cx="1409700" cy="3714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72593</xdr:colOff>
      <xdr:row>43</xdr:row>
      <xdr:rowOff>54699</xdr:rowOff>
    </xdr:from>
    <xdr:to>
      <xdr:col>19</xdr:col>
      <xdr:colOff>303748</xdr:colOff>
      <xdr:row>45</xdr:row>
      <xdr:rowOff>53072</xdr:rowOff>
    </xdr:to>
    <xdr:sp macro="" textlink="">
      <xdr:nvSpPr>
        <xdr:cNvPr id="4" name="Right Arrow 3"/>
        <xdr:cNvSpPr/>
      </xdr:nvSpPr>
      <xdr:spPr>
        <a:xfrm>
          <a:off x="11426393" y="7046049"/>
          <a:ext cx="1450355" cy="32222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dmodel\BIN\POPSIM\aspm_tests\redsnap\REDsnap_inpu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Courses/Quatitative%20techniques/matrix%20demo_20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mb/BIN/dusky_2005/Summary%20fishery%20sheet_dusk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indaLC/My%20Documents/My%20SAS%20Files/V8/Tiburo/Logistic/NW%20TB%20female%20len%20Lo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Gamers/shortfin%20mako_demographic%20gamer_ICCAT%202017_male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dmb/BIN/dusky_2005/Atl%20Dusky%20Age%20and%20selectivit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_eff"/>
      <sheetName val="selectivity"/>
      <sheetName val="LG_select"/>
      <sheetName val="GG_select"/>
      <sheetName val="test dbl"/>
      <sheetName val="mortality"/>
      <sheetName val="repro"/>
      <sheetName val="l_w"/>
    </sheetNames>
    <sheetDataSet>
      <sheetData sheetId="0" refreshError="1"/>
      <sheetData sheetId="1" refreshError="1">
        <row r="32">
          <cell r="C32">
            <v>0.53369999999999995</v>
          </cell>
        </row>
        <row r="33">
          <cell r="C33">
            <v>2.8740000000000001</v>
          </cell>
        </row>
      </sheetData>
      <sheetData sheetId="2" refreshError="1">
        <row r="4">
          <cell r="N4">
            <v>5</v>
          </cell>
          <cell r="O4">
            <v>0.5</v>
          </cell>
          <cell r="P4">
            <v>15.2</v>
          </cell>
          <cell r="Q4">
            <v>0.52</v>
          </cell>
          <cell r="R4">
            <v>0.85</v>
          </cell>
        </row>
        <row r="5">
          <cell r="E5">
            <v>7.5</v>
          </cell>
          <cell r="F5">
            <v>1</v>
          </cell>
          <cell r="J5">
            <v>0.5</v>
          </cell>
          <cell r="K5">
            <v>5</v>
          </cell>
        </row>
      </sheetData>
      <sheetData sheetId="3" refreshError="1">
        <row r="4">
          <cell r="N4">
            <v>3.5</v>
          </cell>
        </row>
        <row r="5">
          <cell r="E5">
            <v>4.8</v>
          </cell>
          <cell r="F5">
            <v>0.34799999999999998</v>
          </cell>
          <cell r="J5">
            <v>13.4</v>
          </cell>
          <cell r="K5">
            <v>1</v>
          </cell>
        </row>
        <row r="6">
          <cell r="N6">
            <v>0.55000000000000004</v>
          </cell>
        </row>
        <row r="8">
          <cell r="N8">
            <v>29</v>
          </cell>
        </row>
        <row r="10">
          <cell r="N10">
            <v>0.55000000000000004</v>
          </cell>
        </row>
        <row r="13">
          <cell r="N13">
            <v>1</v>
          </cell>
        </row>
        <row r="18">
          <cell r="N18">
            <v>7.75</v>
          </cell>
        </row>
        <row r="20">
          <cell r="N20">
            <v>0.55000000000000004</v>
          </cell>
        </row>
        <row r="22">
          <cell r="N22">
            <v>26</v>
          </cell>
        </row>
        <row r="24">
          <cell r="N24">
            <v>0.13</v>
          </cell>
        </row>
        <row r="26">
          <cell r="N26">
            <v>0.8</v>
          </cell>
        </row>
      </sheetData>
      <sheetData sheetId="4" refreshError="1">
        <row r="22">
          <cell r="H22">
            <v>2</v>
          </cell>
        </row>
        <row r="23">
          <cell r="H23">
            <v>5</v>
          </cell>
        </row>
        <row r="24">
          <cell r="H24">
            <v>1.923</v>
          </cell>
        </row>
        <row r="25">
          <cell r="H25">
            <v>15.2</v>
          </cell>
        </row>
        <row r="26">
          <cell r="H26">
            <v>0.86499999999999999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 tricks"/>
      <sheetName val="Bonnethead"/>
      <sheetName val="Bonnethead with fx=pomx"/>
      <sheetName val="matrix demo - bonnethead"/>
      <sheetName val="matrix with stochasticity"/>
      <sheetName val="Smith et al. D-D approach"/>
      <sheetName val="Ebert book de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B8">
            <v>12</v>
          </cell>
          <cell r="C8">
            <v>3</v>
          </cell>
          <cell r="D8">
            <v>0.3678138430461545</v>
          </cell>
          <cell r="E8">
            <v>3.75</v>
          </cell>
          <cell r="G8">
            <v>1</v>
          </cell>
          <cell r="H8">
            <v>0.55172076456923169</v>
          </cell>
          <cell r="I8">
            <v>0.11353397309432667</v>
          </cell>
          <cell r="J8">
            <v>6.6000000000000003E-2</v>
          </cell>
        </row>
      </sheetData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##NCstats parameters###"/>
      <sheetName val="catches"/>
      <sheetName val="total commercial catch table"/>
      <sheetName val="total recreational catch table"/>
      <sheetName val="total discards table"/>
      <sheetName val="total catch table"/>
      <sheetName val="Catch figures"/>
      <sheetName val="Catch figures by region"/>
      <sheetName val="Catch tables by region-gear"/>
      <sheetName val="average size"/>
      <sheetName val="average size figures"/>
      <sheetName val="average size table"/>
      <sheetName val="catch rates"/>
      <sheetName val="combined catch rates-figure"/>
      <sheetName val="biomass trend fit"/>
      <sheetName val="biology"/>
      <sheetName val="biology table"/>
      <sheetName val="population parameters table"/>
      <sheetName val="Assessment results"/>
      <sheetName val="inputs for age-structured model"/>
      <sheetName val="q and selectivity links"/>
      <sheetName val="Sheet3"/>
      <sheetName val="Sheet5"/>
      <sheetName val="Sheet7"/>
      <sheetName val="Sheet9"/>
      <sheetName val="Sheet11"/>
      <sheetName val="Sheet2"/>
      <sheetName val="Sheet4"/>
      <sheetName val="Sheet6"/>
      <sheetName val="Sheet8"/>
      <sheetName val="Sheet10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1"/>
      <sheetName val="Sheet42"/>
      <sheetName val="Sheet43"/>
    </sheetNames>
    <sheetDataSet>
      <sheetData sheetId="0">
        <row r="5">
          <cell r="E5" t="b">
            <v>1</v>
          </cell>
        </row>
        <row r="6">
          <cell r="E6" t="b">
            <v>0</v>
          </cell>
        </row>
        <row r="7">
          <cell r="E7" t="b">
            <v>1</v>
          </cell>
        </row>
        <row r="8">
          <cell r="E8" t="b">
            <v>1</v>
          </cell>
        </row>
        <row r="9">
          <cell r="E9">
            <v>2</v>
          </cell>
        </row>
        <row r="10">
          <cell r="E10" t="b">
            <v>1</v>
          </cell>
        </row>
        <row r="11">
          <cell r="E11" t="b">
            <v>0</v>
          </cell>
        </row>
        <row r="12">
          <cell r="E12" t="b">
            <v>0</v>
          </cell>
        </row>
        <row r="14">
          <cell r="E14" t="str">
            <v>C:\Private\Prohibited species\</v>
          </cell>
        </row>
        <row r="15">
          <cell r="E15" t="str">
            <v>Summary fishery sheet_dusky Scalars</v>
          </cell>
        </row>
        <row r="16">
          <cell r="E16" t="str">
            <v>Summary fishery sheet_dusky Vectors</v>
          </cell>
        </row>
        <row r="17">
          <cell r="E17" t="str">
            <v>Summary fishery sheet_dusky Array</v>
          </cell>
        </row>
        <row r="19">
          <cell r="E19" t="str">
            <v>Summary fishery sheet_dusky NodeStats</v>
          </cell>
        </row>
        <row r="20">
          <cell r="E20" t="str">
            <v>Summary fishery sheet_dusky</v>
          </cell>
        </row>
        <row r="21">
          <cell r="E21" t="str">
            <v>Node Stats</v>
          </cell>
        </row>
        <row r="22">
          <cell r="E22" t="str">
            <v>CODA</v>
          </cell>
        </row>
        <row r="27">
          <cell r="E27">
            <v>1000</v>
          </cell>
        </row>
        <row r="28">
          <cell r="E28">
            <v>1000</v>
          </cell>
        </row>
        <row r="29">
          <cell r="E29">
            <v>1</v>
          </cell>
        </row>
        <row r="30">
          <cell r="E30" t="b">
            <v>1</v>
          </cell>
        </row>
        <row r="31">
          <cell r="E31">
            <v>1</v>
          </cell>
        </row>
        <row r="32">
          <cell r="E32" t="b">
            <v>1</v>
          </cell>
        </row>
        <row r="33">
          <cell r="E33" t="b">
            <v>1</v>
          </cell>
        </row>
        <row r="34">
          <cell r="E34" t="b">
            <v>1</v>
          </cell>
        </row>
        <row r="35">
          <cell r="E35" t="b">
            <v>0</v>
          </cell>
        </row>
        <row r="36">
          <cell r="E36" t="b">
            <v>0</v>
          </cell>
        </row>
        <row r="37">
          <cell r="E37" t="b">
            <v>0</v>
          </cell>
        </row>
        <row r="38">
          <cell r="E38" t="b">
            <v>0</v>
          </cell>
        </row>
        <row r="39">
          <cell r="E39" t="b">
            <v>0</v>
          </cell>
        </row>
        <row r="40">
          <cell r="E40" t="b">
            <v>0</v>
          </cell>
        </row>
        <row r="41">
          <cell r="E41" t="b">
            <v>0</v>
          </cell>
        </row>
        <row r="42">
          <cell r="E42" t="b">
            <v>0</v>
          </cell>
        </row>
        <row r="43">
          <cell r="E43" t="b">
            <v>0</v>
          </cell>
        </row>
        <row r="44">
          <cell r="E44" t="b">
            <v>0</v>
          </cell>
        </row>
        <row r="45">
          <cell r="E45" t="b">
            <v>0</v>
          </cell>
        </row>
        <row r="48">
          <cell r="E48" t="b">
            <v>0</v>
          </cell>
        </row>
        <row r="54">
          <cell r="E54" t="str">
            <v>Normal</v>
          </cell>
        </row>
        <row r="55">
          <cell r="E55" t="str">
            <v>Identity</v>
          </cell>
        </row>
        <row r="56">
          <cell r="E56" t="b">
            <v>0</v>
          </cell>
        </row>
        <row r="59">
          <cell r="E59">
            <v>1E-3</v>
          </cell>
        </row>
        <row r="60">
          <cell r="E60">
            <v>1E-3</v>
          </cell>
        </row>
        <row r="61">
          <cell r="E61" t="str">
            <v>Gamma</v>
          </cell>
        </row>
        <row r="63">
          <cell r="E63">
            <v>1</v>
          </cell>
        </row>
        <row r="64">
          <cell r="E64">
            <v>1E-3</v>
          </cell>
        </row>
        <row r="65">
          <cell r="E65" t="b">
            <v>0</v>
          </cell>
        </row>
        <row r="66">
          <cell r="E66" t="b">
            <v>1</v>
          </cell>
        </row>
        <row r="67">
          <cell r="E67" t="b">
            <v>0</v>
          </cell>
        </row>
        <row r="73">
          <cell r="E73" t="b">
            <v>0</v>
          </cell>
        </row>
        <row r="74">
          <cell r="E74" t="b">
            <v>0</v>
          </cell>
        </row>
        <row r="75">
          <cell r="E75" t="b">
            <v>1</v>
          </cell>
        </row>
        <row r="76">
          <cell r="E76">
            <v>0</v>
          </cell>
        </row>
        <row r="77">
          <cell r="E77">
            <v>0.5</v>
          </cell>
        </row>
        <row r="78">
          <cell r="E78" t="str">
            <v>BugFolio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NWTBLEN"/>
    </sheetNames>
    <sheetDataSet>
      <sheetData sheetId="0">
        <row r="1">
          <cell r="A1" t="str">
            <v>Area</v>
          </cell>
          <cell r="B1" t="str">
            <v>Sex</v>
          </cell>
          <cell r="C1" t="str">
            <v>Length</v>
          </cell>
          <cell r="D1" t="str">
            <v>Mature</v>
          </cell>
          <cell r="E1" t="str">
            <v>Age</v>
          </cell>
          <cell r="F1" t="str">
            <v>PREDICTD</v>
          </cell>
          <cell r="G1" t="str">
            <v>L95CL</v>
          </cell>
          <cell r="H1" t="str">
            <v>U95CL</v>
          </cell>
          <cell r="I1" t="str">
            <v>RESIDCHI</v>
          </cell>
          <cell r="J1" t="str">
            <v>RESIDDEV</v>
          </cell>
        </row>
        <row r="2">
          <cell r="A2" t="str">
            <v>NW</v>
          </cell>
          <cell r="B2" t="str">
            <v>F</v>
          </cell>
          <cell r="C2">
            <v>440</v>
          </cell>
          <cell r="D2">
            <v>0</v>
          </cell>
          <cell r="E2">
            <v>1</v>
          </cell>
          <cell r="F2">
            <v>3.6489411525949413E-7</v>
          </cell>
          <cell r="G2">
            <v>1.7114025330649195E-10</v>
          </cell>
          <cell r="H2">
            <v>7.7739924371215442E-4</v>
          </cell>
          <cell r="I2">
            <v>-6.0406477169858066E-4</v>
          </cell>
          <cell r="J2">
            <v>-8.5427651475784654E-4</v>
          </cell>
        </row>
        <row r="3">
          <cell r="A3" t="str">
            <v>NW</v>
          </cell>
          <cell r="B3" t="str">
            <v>F</v>
          </cell>
          <cell r="C3">
            <v>470</v>
          </cell>
          <cell r="D3">
            <v>0</v>
          </cell>
          <cell r="E3">
            <v>1</v>
          </cell>
          <cell r="F3">
            <v>8.8171499527779487E-7</v>
          </cell>
          <cell r="G3">
            <v>6.4138543950096437E-10</v>
          </cell>
          <cell r="H3">
            <v>1.2106316778588097E-3</v>
          </cell>
          <cell r="I3">
            <v>-9.3899721655594528E-4</v>
          </cell>
          <cell r="J3">
            <v>-1.3279423059671394E-3</v>
          </cell>
        </row>
        <row r="4">
          <cell r="A4" t="str">
            <v>NW</v>
          </cell>
          <cell r="B4" t="str">
            <v>F</v>
          </cell>
          <cell r="C4">
            <v>470</v>
          </cell>
          <cell r="D4">
            <v>0</v>
          </cell>
          <cell r="E4">
            <v>1</v>
          </cell>
          <cell r="F4">
            <v>8.8171499527779487E-7</v>
          </cell>
          <cell r="G4">
            <v>6.4138543950096437E-10</v>
          </cell>
          <cell r="H4">
            <v>1.2106316778588097E-3</v>
          </cell>
          <cell r="I4">
            <v>-9.3899721655594528E-4</v>
          </cell>
          <cell r="J4">
            <v>-1.3279423059671394E-3</v>
          </cell>
        </row>
        <row r="5">
          <cell r="A5" t="str">
            <v>NW</v>
          </cell>
          <cell r="B5" t="str">
            <v>F</v>
          </cell>
          <cell r="C5">
            <v>480</v>
          </cell>
          <cell r="D5">
            <v>0</v>
          </cell>
          <cell r="E5">
            <v>1</v>
          </cell>
          <cell r="F5">
            <v>1.183174024574074E-6</v>
          </cell>
          <cell r="G5">
            <v>9.9614078732975556E-10</v>
          </cell>
          <cell r="H5">
            <v>1.4033553675961675E-3</v>
          </cell>
          <cell r="I5">
            <v>-1.0877386747176468E-3</v>
          </cell>
          <cell r="J5">
            <v>-1.5382943310855526E-3</v>
          </cell>
        </row>
        <row r="6">
          <cell r="A6" t="str">
            <v>NW</v>
          </cell>
          <cell r="B6" t="str">
            <v>F</v>
          </cell>
          <cell r="C6">
            <v>490</v>
          </cell>
          <cell r="D6">
            <v>0</v>
          </cell>
          <cell r="E6">
            <v>1</v>
          </cell>
          <cell r="F6">
            <v>1.5877019622414056E-6</v>
          </cell>
          <cell r="G6">
            <v>1.5470077657726172E-9</v>
          </cell>
          <cell r="H6">
            <v>1.6268209365571638E-3</v>
          </cell>
          <cell r="I6">
            <v>-1.260041460842828E-3</v>
          </cell>
          <cell r="J6">
            <v>-1.7819670157674004E-3</v>
          </cell>
        </row>
        <row r="7">
          <cell r="A7" t="str">
            <v>NW</v>
          </cell>
          <cell r="B7" t="str">
            <v>F</v>
          </cell>
          <cell r="C7">
            <v>740</v>
          </cell>
          <cell r="D7">
            <v>0</v>
          </cell>
          <cell r="E7">
            <v>1</v>
          </cell>
          <cell r="F7">
            <v>2.4700677926057998E-3</v>
          </cell>
          <cell r="G7">
            <v>8.8621247813521715E-5</v>
          </cell>
          <cell r="H7">
            <v>6.4705041039984909E-2</v>
          </cell>
          <cell r="I7">
            <v>-4.9761271439613897E-2</v>
          </cell>
          <cell r="J7">
            <v>-7.0329559118033277E-2</v>
          </cell>
        </row>
        <row r="8">
          <cell r="A8" t="str">
            <v>NW</v>
          </cell>
          <cell r="B8" t="str">
            <v>F</v>
          </cell>
          <cell r="C8">
            <v>430</v>
          </cell>
          <cell r="D8">
            <v>0</v>
          </cell>
          <cell r="E8">
            <v>2</v>
          </cell>
          <cell r="F8">
            <v>2.7192326686787134E-7</v>
          </cell>
          <cell r="G8">
            <v>1.1016599745629669E-10</v>
          </cell>
          <cell r="H8">
            <v>6.7073969226106277E-4</v>
          </cell>
          <cell r="I8">
            <v>-5.2146269359385085E-4</v>
          </cell>
          <cell r="J8">
            <v>-7.3745956341898864E-4</v>
          </cell>
        </row>
        <row r="9">
          <cell r="A9" t="str">
            <v>NW</v>
          </cell>
          <cell r="B9" t="str">
            <v>F</v>
          </cell>
          <cell r="C9">
            <v>440</v>
          </cell>
          <cell r="D9">
            <v>0</v>
          </cell>
          <cell r="E9">
            <v>2</v>
          </cell>
          <cell r="F9">
            <v>3.6489411525949413E-7</v>
          </cell>
          <cell r="G9">
            <v>1.7114025330649195E-10</v>
          </cell>
          <cell r="H9">
            <v>7.7739924371215442E-4</v>
          </cell>
          <cell r="I9">
            <v>-6.0406477169858066E-4</v>
          </cell>
          <cell r="J9">
            <v>-8.5427651475784654E-4</v>
          </cell>
        </row>
        <row r="10">
          <cell r="A10" t="str">
            <v>NW</v>
          </cell>
          <cell r="B10" t="str">
            <v>F</v>
          </cell>
          <cell r="C10">
            <v>450</v>
          </cell>
          <cell r="D10">
            <v>0</v>
          </cell>
          <cell r="E10">
            <v>2</v>
          </cell>
          <cell r="F10">
            <v>4.8965177806341104E-7</v>
          </cell>
          <cell r="G10">
            <v>2.6584790614905664E-10</v>
          </cell>
          <cell r="H10">
            <v>9.0105303555031277E-4</v>
          </cell>
          <cell r="I10">
            <v>-6.9975139715644161E-4</v>
          </cell>
          <cell r="J10">
            <v>-9.8959779500858722E-4</v>
          </cell>
        </row>
        <row r="11">
          <cell r="A11" t="str">
            <v>NW</v>
          </cell>
          <cell r="B11" t="str">
            <v>F</v>
          </cell>
          <cell r="C11">
            <v>450</v>
          </cell>
          <cell r="D11">
            <v>0</v>
          </cell>
          <cell r="E11">
            <v>2</v>
          </cell>
          <cell r="F11">
            <v>4.8965177806341104E-7</v>
          </cell>
          <cell r="G11">
            <v>2.6584790614905664E-10</v>
          </cell>
          <cell r="H11">
            <v>9.0105303555031277E-4</v>
          </cell>
          <cell r="I11">
            <v>-6.9975139715644161E-4</v>
          </cell>
          <cell r="J11">
            <v>-9.8959779500858722E-4</v>
          </cell>
        </row>
        <row r="12">
          <cell r="A12" t="str">
            <v>NW</v>
          </cell>
          <cell r="B12" t="str">
            <v>F</v>
          </cell>
          <cell r="C12">
            <v>460</v>
          </cell>
          <cell r="D12">
            <v>0</v>
          </cell>
          <cell r="E12">
            <v>2</v>
          </cell>
          <cell r="F12">
            <v>6.5706418247740938E-7</v>
          </cell>
          <cell r="G12">
            <v>4.1294231751152077E-10</v>
          </cell>
          <cell r="H12">
            <v>1.0444146302565802E-3</v>
          </cell>
          <cell r="I12">
            <v>-8.105952221738248E-4</v>
          </cell>
          <cell r="J12">
            <v>-1.1463545684858539E-3</v>
          </cell>
        </row>
        <row r="13">
          <cell r="A13" t="str">
            <v>NW</v>
          </cell>
          <cell r="B13" t="str">
            <v>F</v>
          </cell>
          <cell r="C13">
            <v>470</v>
          </cell>
          <cell r="D13">
            <v>0</v>
          </cell>
          <cell r="E13">
            <v>2</v>
          </cell>
          <cell r="F13">
            <v>8.8171499527779487E-7</v>
          </cell>
          <cell r="G13">
            <v>6.4138543950096437E-10</v>
          </cell>
          <cell r="H13">
            <v>1.2106316778588097E-3</v>
          </cell>
          <cell r="I13">
            <v>-9.3899721655594528E-4</v>
          </cell>
          <cell r="J13">
            <v>-1.3279423059671394E-3</v>
          </cell>
        </row>
        <row r="14">
          <cell r="A14" t="str">
            <v>NW</v>
          </cell>
          <cell r="B14" t="str">
            <v>F</v>
          </cell>
          <cell r="C14">
            <v>470</v>
          </cell>
          <cell r="D14">
            <v>0</v>
          </cell>
          <cell r="E14">
            <v>2</v>
          </cell>
          <cell r="F14">
            <v>8.8171499527779487E-7</v>
          </cell>
          <cell r="G14">
            <v>6.4138543950096437E-10</v>
          </cell>
          <cell r="H14">
            <v>1.2106316778588097E-3</v>
          </cell>
          <cell r="I14">
            <v>-9.3899721655594528E-4</v>
          </cell>
          <cell r="J14">
            <v>-1.3279423059671394E-3</v>
          </cell>
        </row>
        <row r="15">
          <cell r="A15" t="str">
            <v>NW</v>
          </cell>
          <cell r="B15" t="str">
            <v>F</v>
          </cell>
          <cell r="C15">
            <v>480</v>
          </cell>
          <cell r="D15">
            <v>0</v>
          </cell>
          <cell r="E15">
            <v>2</v>
          </cell>
          <cell r="F15">
            <v>1.183174024574074E-6</v>
          </cell>
          <cell r="G15">
            <v>9.9614078732975556E-10</v>
          </cell>
          <cell r="H15">
            <v>1.4033553675961675E-3</v>
          </cell>
          <cell r="I15">
            <v>-1.0877386747176468E-3</v>
          </cell>
          <cell r="J15">
            <v>-1.5382943310855526E-3</v>
          </cell>
        </row>
        <row r="16">
          <cell r="A16" t="str">
            <v>NW</v>
          </cell>
          <cell r="B16" t="str">
            <v>F</v>
          </cell>
          <cell r="C16">
            <v>480</v>
          </cell>
          <cell r="D16">
            <v>0</v>
          </cell>
          <cell r="E16">
            <v>2</v>
          </cell>
          <cell r="F16">
            <v>1.183174024574074E-6</v>
          </cell>
          <cell r="G16">
            <v>9.9614078732975556E-10</v>
          </cell>
          <cell r="H16">
            <v>1.4033553675961675E-3</v>
          </cell>
          <cell r="I16">
            <v>-1.0877386747176468E-3</v>
          </cell>
          <cell r="J16">
            <v>-1.5382943310855526E-3</v>
          </cell>
        </row>
        <row r="17">
          <cell r="A17" t="str">
            <v>NW</v>
          </cell>
          <cell r="B17" t="str">
            <v>F</v>
          </cell>
          <cell r="C17">
            <v>480</v>
          </cell>
          <cell r="D17">
            <v>0</v>
          </cell>
          <cell r="E17">
            <v>2</v>
          </cell>
          <cell r="F17">
            <v>1.183174024574074E-6</v>
          </cell>
          <cell r="G17">
            <v>9.9614078732975556E-10</v>
          </cell>
          <cell r="H17">
            <v>1.4033553675961675E-3</v>
          </cell>
          <cell r="I17">
            <v>-1.0877386747176468E-3</v>
          </cell>
          <cell r="J17">
            <v>-1.5382943310855526E-3</v>
          </cell>
        </row>
        <row r="18">
          <cell r="A18" t="str">
            <v>NW</v>
          </cell>
          <cell r="B18" t="str">
            <v>F</v>
          </cell>
          <cell r="C18">
            <v>480</v>
          </cell>
          <cell r="D18">
            <v>0</v>
          </cell>
          <cell r="E18">
            <v>2</v>
          </cell>
          <cell r="F18">
            <v>1.183174024574074E-6</v>
          </cell>
          <cell r="G18">
            <v>9.9614078732975556E-10</v>
          </cell>
          <cell r="H18">
            <v>1.4033553675961675E-3</v>
          </cell>
          <cell r="I18">
            <v>-1.0877386747176468E-3</v>
          </cell>
          <cell r="J18">
            <v>-1.5382943310855526E-3</v>
          </cell>
        </row>
        <row r="19">
          <cell r="A19" t="str">
            <v>NW</v>
          </cell>
          <cell r="B19" t="str">
            <v>F</v>
          </cell>
          <cell r="C19">
            <v>490</v>
          </cell>
          <cell r="D19">
            <v>0</v>
          </cell>
          <cell r="E19">
            <v>2</v>
          </cell>
          <cell r="F19">
            <v>1.5877019622414056E-6</v>
          </cell>
          <cell r="G19">
            <v>1.5470077657726172E-9</v>
          </cell>
          <cell r="H19">
            <v>1.6268209365571638E-3</v>
          </cell>
          <cell r="I19">
            <v>-1.260041460842828E-3</v>
          </cell>
          <cell r="J19">
            <v>-1.7819670157674004E-3</v>
          </cell>
        </row>
        <row r="20">
          <cell r="A20" t="str">
            <v>NW</v>
          </cell>
          <cell r="B20" t="str">
            <v>F</v>
          </cell>
          <cell r="C20">
            <v>500</v>
          </cell>
          <cell r="D20">
            <v>0</v>
          </cell>
          <cell r="E20">
            <v>2</v>
          </cell>
          <cell r="F20">
            <v>2.1305379596758323E-6</v>
          </cell>
          <cell r="G20">
            <v>2.4023289870545982E-9</v>
          </cell>
          <cell r="H20">
            <v>1.8859409633097777E-3</v>
          </cell>
          <cell r="I20">
            <v>-1.459637797152945E-3</v>
          </cell>
          <cell r="J20">
            <v>-2.0642384693997967E-3</v>
          </cell>
        </row>
        <row r="21">
          <cell r="A21" t="str">
            <v>NW</v>
          </cell>
          <cell r="B21" t="str">
            <v>F</v>
          </cell>
          <cell r="C21">
            <v>500</v>
          </cell>
          <cell r="D21">
            <v>0</v>
          </cell>
          <cell r="E21">
            <v>2</v>
          </cell>
          <cell r="F21">
            <v>2.1305379596758323E-6</v>
          </cell>
          <cell r="G21">
            <v>2.4023289870545982E-9</v>
          </cell>
          <cell r="H21">
            <v>1.8859409633097777E-3</v>
          </cell>
          <cell r="I21">
            <v>-1.459637797152945E-3</v>
          </cell>
          <cell r="J21">
            <v>-2.0642384693997967E-3</v>
          </cell>
        </row>
        <row r="22">
          <cell r="A22" t="str">
            <v>NW</v>
          </cell>
          <cell r="B22" t="str">
            <v>F</v>
          </cell>
          <cell r="C22">
            <v>500</v>
          </cell>
          <cell r="D22">
            <v>0</v>
          </cell>
          <cell r="E22">
            <v>2</v>
          </cell>
          <cell r="F22">
            <v>2.1305379596758323E-6</v>
          </cell>
          <cell r="G22">
            <v>2.4023289870545982E-9</v>
          </cell>
          <cell r="H22">
            <v>1.8859409633097777E-3</v>
          </cell>
          <cell r="I22">
            <v>-1.459637797152945E-3</v>
          </cell>
          <cell r="J22">
            <v>-2.0642384693997967E-3</v>
          </cell>
        </row>
        <row r="23">
          <cell r="A23" t="str">
            <v>NW</v>
          </cell>
          <cell r="B23" t="str">
            <v>F</v>
          </cell>
          <cell r="C23">
            <v>510</v>
          </cell>
          <cell r="D23">
            <v>0</v>
          </cell>
          <cell r="E23">
            <v>2</v>
          </cell>
          <cell r="F23">
            <v>2.8589692921680912E-6</v>
          </cell>
          <cell r="G23">
            <v>3.7302555892357371E-9</v>
          </cell>
          <cell r="H23">
            <v>2.1864134302593753E-3</v>
          </cell>
          <cell r="I23">
            <v>-1.6908511069567524E-3</v>
          </cell>
          <cell r="J23">
            <v>-2.3912228583001507E-3</v>
          </cell>
        </row>
        <row r="24">
          <cell r="A24" t="str">
            <v>NW</v>
          </cell>
          <cell r="B24" t="str">
            <v>F</v>
          </cell>
          <cell r="C24">
            <v>510</v>
          </cell>
          <cell r="D24">
            <v>0</v>
          </cell>
          <cell r="E24">
            <v>2</v>
          </cell>
          <cell r="F24">
            <v>2.8589692921680912E-6</v>
          </cell>
          <cell r="G24">
            <v>3.7302555892357371E-9</v>
          </cell>
          <cell r="H24">
            <v>2.1864134302593753E-3</v>
          </cell>
          <cell r="I24">
            <v>-1.6908511069567524E-3</v>
          </cell>
          <cell r="J24">
            <v>-2.3912228583001507E-3</v>
          </cell>
        </row>
        <row r="25">
          <cell r="A25" t="str">
            <v>NW</v>
          </cell>
          <cell r="B25" t="str">
            <v>F</v>
          </cell>
          <cell r="C25">
            <v>510</v>
          </cell>
          <cell r="D25">
            <v>0</v>
          </cell>
          <cell r="E25">
            <v>2</v>
          </cell>
          <cell r="F25">
            <v>2.8589692921680912E-6</v>
          </cell>
          <cell r="G25">
            <v>3.7302555892357371E-9</v>
          </cell>
          <cell r="H25">
            <v>2.1864134302593753E-3</v>
          </cell>
          <cell r="I25">
            <v>-1.6908511069567524E-3</v>
          </cell>
          <cell r="J25">
            <v>-2.3912228583001507E-3</v>
          </cell>
        </row>
        <row r="26">
          <cell r="A26" t="str">
            <v>NW</v>
          </cell>
          <cell r="B26" t="str">
            <v>F</v>
          </cell>
          <cell r="C26">
            <v>510</v>
          </cell>
          <cell r="D26">
            <v>0</v>
          </cell>
          <cell r="E26">
            <v>2</v>
          </cell>
          <cell r="F26">
            <v>2.8589692921680912E-6</v>
          </cell>
          <cell r="G26">
            <v>3.7302555892357371E-9</v>
          </cell>
          <cell r="H26">
            <v>2.1864134302593753E-3</v>
          </cell>
          <cell r="I26">
            <v>-1.6908511069567524E-3</v>
          </cell>
          <cell r="J26">
            <v>-2.3912228583001507E-3</v>
          </cell>
        </row>
        <row r="27">
          <cell r="A27" t="str">
            <v>NW</v>
          </cell>
          <cell r="B27" t="str">
            <v>F</v>
          </cell>
          <cell r="C27">
            <v>530</v>
          </cell>
          <cell r="D27">
            <v>0</v>
          </cell>
          <cell r="E27">
            <v>2</v>
          </cell>
          <cell r="F27">
            <v>5.1481306239665939E-6</v>
          </cell>
          <cell r="G27">
            <v>8.9916589014246755E-9</v>
          </cell>
          <cell r="H27">
            <v>2.9389048817768152E-3</v>
          </cell>
          <cell r="I27">
            <v>-2.2689550738945801E-3</v>
          </cell>
          <cell r="J27">
            <v>-3.208782908093526E-3</v>
          </cell>
        </row>
        <row r="28">
          <cell r="A28" t="str">
            <v>NW</v>
          </cell>
          <cell r="B28" t="str">
            <v>F</v>
          </cell>
          <cell r="C28">
            <v>530</v>
          </cell>
          <cell r="D28">
            <v>0</v>
          </cell>
          <cell r="E28">
            <v>2</v>
          </cell>
          <cell r="F28">
            <v>5.1481306239665939E-6</v>
          </cell>
          <cell r="G28">
            <v>8.9916589014246755E-9</v>
          </cell>
          <cell r="H28">
            <v>2.9389048817768152E-3</v>
          </cell>
          <cell r="I28">
            <v>-2.2689550738945801E-3</v>
          </cell>
          <cell r="J28">
            <v>-3.208782908093526E-3</v>
          </cell>
        </row>
        <row r="29">
          <cell r="A29" t="str">
            <v>NW</v>
          </cell>
          <cell r="B29" t="str">
            <v>F</v>
          </cell>
          <cell r="C29">
            <v>530</v>
          </cell>
          <cell r="D29">
            <v>0</v>
          </cell>
          <cell r="E29">
            <v>2</v>
          </cell>
          <cell r="F29">
            <v>5.1481306239665939E-6</v>
          </cell>
          <cell r="G29">
            <v>8.9916589014246755E-9</v>
          </cell>
          <cell r="H29">
            <v>2.9389048817768152E-3</v>
          </cell>
          <cell r="I29">
            <v>-2.2689550738945801E-3</v>
          </cell>
          <cell r="J29">
            <v>-3.208782908093526E-3</v>
          </cell>
        </row>
        <row r="30">
          <cell r="A30" t="str">
            <v>NW</v>
          </cell>
          <cell r="B30" t="str">
            <v>F</v>
          </cell>
          <cell r="C30">
            <v>540</v>
          </cell>
          <cell r="D30">
            <v>0</v>
          </cell>
          <cell r="E30">
            <v>2</v>
          </cell>
          <cell r="F30">
            <v>6.9082703333134804E-6</v>
          </cell>
          <cell r="G30">
            <v>1.3958210128823184E-8</v>
          </cell>
          <cell r="H30">
            <v>3.4074738864632147E-3</v>
          </cell>
          <cell r="I30">
            <v>-2.6283679456731656E-3</v>
          </cell>
          <cell r="J30">
            <v>-3.7170671760200502E-3</v>
          </cell>
        </row>
        <row r="31">
          <cell r="A31" t="str">
            <v>NW</v>
          </cell>
          <cell r="B31" t="str">
            <v>F</v>
          </cell>
          <cell r="C31">
            <v>540</v>
          </cell>
          <cell r="D31">
            <v>0</v>
          </cell>
          <cell r="E31">
            <v>2</v>
          </cell>
          <cell r="F31">
            <v>6.9082703333134804E-6</v>
          </cell>
          <cell r="G31">
            <v>1.3958210128823184E-8</v>
          </cell>
          <cell r="H31">
            <v>3.4074738864632147E-3</v>
          </cell>
          <cell r="I31">
            <v>-2.6283679456731656E-3</v>
          </cell>
          <cell r="J31">
            <v>-3.7170671760200502E-3</v>
          </cell>
        </row>
        <row r="32">
          <cell r="A32" t="str">
            <v>NW</v>
          </cell>
          <cell r="B32" t="str">
            <v>F</v>
          </cell>
          <cell r="C32">
            <v>540</v>
          </cell>
          <cell r="D32">
            <v>0</v>
          </cell>
          <cell r="E32">
            <v>2</v>
          </cell>
          <cell r="F32">
            <v>6.9082703333134804E-6</v>
          </cell>
          <cell r="G32">
            <v>1.3958210128823184E-8</v>
          </cell>
          <cell r="H32">
            <v>3.4074738864632147E-3</v>
          </cell>
          <cell r="I32">
            <v>-2.6283679456731656E-3</v>
          </cell>
          <cell r="J32">
            <v>-3.7170671760200502E-3</v>
          </cell>
        </row>
        <row r="33">
          <cell r="A33" t="str">
            <v>NW</v>
          </cell>
          <cell r="B33" t="str">
            <v>F</v>
          </cell>
          <cell r="C33">
            <v>550</v>
          </cell>
          <cell r="D33">
            <v>0</v>
          </cell>
          <cell r="E33">
            <v>2</v>
          </cell>
          <cell r="F33">
            <v>9.2701941275351742E-6</v>
          </cell>
          <cell r="G33">
            <v>2.1665827166563091E-8</v>
          </cell>
          <cell r="H33">
            <v>3.9508559237558675E-3</v>
          </cell>
          <cell r="I33">
            <v>-3.0447134618599146E-3</v>
          </cell>
          <cell r="J33">
            <v>-4.3058650921853686E-3</v>
          </cell>
        </row>
        <row r="34">
          <cell r="A34" t="str">
            <v>NW</v>
          </cell>
          <cell r="B34" t="str">
            <v>F</v>
          </cell>
          <cell r="C34">
            <v>550</v>
          </cell>
          <cell r="D34">
            <v>0</v>
          </cell>
          <cell r="E34">
            <v>2</v>
          </cell>
          <cell r="F34">
            <v>9.2701941275351742E-6</v>
          </cell>
          <cell r="G34">
            <v>2.1665827166563091E-8</v>
          </cell>
          <cell r="H34">
            <v>3.9508559237558675E-3</v>
          </cell>
          <cell r="I34">
            <v>-3.0447134618599146E-3</v>
          </cell>
          <cell r="J34">
            <v>-4.3058650921853686E-3</v>
          </cell>
        </row>
        <row r="35">
          <cell r="A35" t="str">
            <v>NW</v>
          </cell>
          <cell r="B35" t="str">
            <v>F</v>
          </cell>
          <cell r="C35">
            <v>560</v>
          </cell>
          <cell r="D35">
            <v>0</v>
          </cell>
          <cell r="E35">
            <v>2</v>
          </cell>
          <cell r="F35">
            <v>1.2439644892072607E-5</v>
          </cell>
          <cell r="G35">
            <v>3.3625842420428604E-8</v>
          </cell>
          <cell r="H35">
            <v>4.5809917804666336E-3</v>
          </cell>
          <cell r="I35">
            <v>-3.5270100139867264E-3</v>
          </cell>
          <cell r="J35">
            <v>-4.987929884249947E-3</v>
          </cell>
        </row>
        <row r="36">
          <cell r="A36" t="str">
            <v>NW</v>
          </cell>
          <cell r="B36" t="str">
            <v>F</v>
          </cell>
          <cell r="C36">
            <v>570</v>
          </cell>
          <cell r="D36">
            <v>0</v>
          </cell>
          <cell r="E36">
            <v>2</v>
          </cell>
          <cell r="F36">
            <v>1.6692703003327161E-5</v>
          </cell>
          <cell r="G36">
            <v>5.2181892234159759E-8</v>
          </cell>
          <cell r="H36">
            <v>5.3117177261400158E-3</v>
          </cell>
          <cell r="I36">
            <v>-4.0857045480935297E-3</v>
          </cell>
          <cell r="J36">
            <v>-5.778034670724028E-3</v>
          </cell>
        </row>
        <row r="37">
          <cell r="A37" t="str">
            <v>NW</v>
          </cell>
          <cell r="B37" t="str">
            <v>F</v>
          </cell>
          <cell r="C37">
            <v>580</v>
          </cell>
          <cell r="D37">
            <v>0</v>
          </cell>
          <cell r="E37">
            <v>2</v>
          </cell>
          <cell r="F37">
            <v>2.2399829801445879E-5</v>
          </cell>
          <cell r="G37">
            <v>8.0967596751975857E-8</v>
          </cell>
          <cell r="H37">
            <v>6.1590608096598696E-3</v>
          </cell>
          <cell r="I37">
            <v>-4.732898854302765E-3</v>
          </cell>
          <cell r="J37">
            <v>-6.6932922663484407E-3</v>
          </cell>
        </row>
        <row r="38">
          <cell r="A38" t="str">
            <v>NW</v>
          </cell>
          <cell r="B38" t="str">
            <v>F</v>
          </cell>
          <cell r="C38">
            <v>590</v>
          </cell>
          <cell r="D38">
            <v>0</v>
          </cell>
          <cell r="E38">
            <v>2</v>
          </cell>
          <cell r="F38">
            <v>3.0058127553411402E-5</v>
          </cell>
          <cell r="G38">
            <v>1.2561544898893999E-7</v>
          </cell>
          <cell r="H38">
            <v>7.1415777607403939E-3</v>
          </cell>
          <cell r="I38">
            <v>-5.4826117016985136E-3</v>
          </cell>
          <cell r="J38">
            <v>-7.7535255604118617E-3</v>
          </cell>
        </row>
        <row r="39">
          <cell r="A39" t="str">
            <v>NW</v>
          </cell>
          <cell r="B39" t="str">
            <v>F</v>
          </cell>
          <cell r="C39">
            <v>590</v>
          </cell>
          <cell r="D39">
            <v>0</v>
          </cell>
          <cell r="E39">
            <v>2</v>
          </cell>
          <cell r="F39">
            <v>3.0058127553411402E-5</v>
          </cell>
          <cell r="G39">
            <v>1.2561544898893999E-7</v>
          </cell>
          <cell r="H39">
            <v>7.1415777607403939E-3</v>
          </cell>
          <cell r="I39">
            <v>-5.4826117016985136E-3</v>
          </cell>
          <cell r="J39">
            <v>-7.7535255604118617E-3</v>
          </cell>
        </row>
        <row r="40">
          <cell r="A40" t="str">
            <v>NW</v>
          </cell>
          <cell r="B40" t="str">
            <v>F</v>
          </cell>
          <cell r="C40">
            <v>600</v>
          </cell>
          <cell r="D40">
            <v>0</v>
          </cell>
          <cell r="E40">
            <v>2</v>
          </cell>
          <cell r="F40">
            <v>4.0334621930897187E-5</v>
          </cell>
          <cell r="G40">
            <v>1.9485446969000507E-7</v>
          </cell>
          <cell r="H40">
            <v>8.2807429845597816E-3</v>
          </cell>
          <cell r="I40">
            <v>-6.3510824965706276E-3</v>
          </cell>
          <cell r="J40">
            <v>-8.9816964314804373E-3</v>
          </cell>
        </row>
        <row r="41">
          <cell r="A41" t="str">
            <v>NW</v>
          </cell>
          <cell r="B41" t="str">
            <v>F</v>
          </cell>
          <cell r="C41">
            <v>620</v>
          </cell>
          <cell r="D41">
            <v>0</v>
          </cell>
          <cell r="E41">
            <v>2</v>
          </cell>
          <cell r="F41">
            <v>7.2628157395270696E-5</v>
          </cell>
          <cell r="G41">
            <v>4.6862913287925414E-7</v>
          </cell>
          <cell r="H41">
            <v>1.1132222473271267E-2</v>
          </cell>
          <cell r="I41">
            <v>-8.5225250147856878E-3</v>
          </cell>
          <cell r="J41">
            <v>-1.2052451613476976E-2</v>
          </cell>
        </row>
        <row r="42">
          <cell r="A42" t="str">
            <v>NW</v>
          </cell>
          <cell r="B42" t="str">
            <v>F</v>
          </cell>
          <cell r="C42">
            <v>720</v>
          </cell>
          <cell r="D42">
            <v>0</v>
          </cell>
          <cell r="E42">
            <v>2</v>
          </cell>
          <cell r="F42">
            <v>1.3732356738473993E-3</v>
          </cell>
          <cell r="G42">
            <v>3.7140940712364763E-5</v>
          </cell>
          <cell r="H42">
            <v>4.8444963548981805E-2</v>
          </cell>
          <cell r="I42">
            <v>-3.7082664996458126E-2</v>
          </cell>
          <cell r="J42">
            <v>-5.242479234199094E-2</v>
          </cell>
        </row>
        <row r="43">
          <cell r="A43" t="str">
            <v>NW</v>
          </cell>
          <cell r="B43" t="str">
            <v>F</v>
          </cell>
          <cell r="C43">
            <v>730</v>
          </cell>
          <cell r="D43">
            <v>0</v>
          </cell>
          <cell r="E43">
            <v>2</v>
          </cell>
          <cell r="F43">
            <v>1.8418817699716661E-3</v>
          </cell>
          <cell r="G43">
            <v>5.7388470151851546E-5</v>
          </cell>
          <cell r="H43">
            <v>5.6007207438204115E-2</v>
          </cell>
          <cell r="I43">
            <v>-4.2956728909369038E-2</v>
          </cell>
          <cell r="J43">
            <v>-6.0721991402773894E-2</v>
          </cell>
        </row>
        <row r="44">
          <cell r="A44" t="str">
            <v>NW</v>
          </cell>
          <cell r="B44" t="str">
            <v>F</v>
          </cell>
          <cell r="C44">
            <v>760</v>
          </cell>
          <cell r="D44">
            <v>0</v>
          </cell>
          <cell r="E44">
            <v>2</v>
          </cell>
          <cell r="F44">
            <v>4.43906846614629E-3</v>
          </cell>
          <cell r="G44">
            <v>2.1088076278268108E-4</v>
          </cell>
          <cell r="H44">
            <v>8.6138955831219277E-2</v>
          </cell>
          <cell r="I44">
            <v>-6.67747082234635E-2</v>
          </cell>
          <cell r="J44">
            <v>-9.4328684775722774E-2</v>
          </cell>
        </row>
        <row r="45">
          <cell r="A45" t="str">
            <v>NW</v>
          </cell>
          <cell r="B45" t="str">
            <v>F</v>
          </cell>
          <cell r="C45">
            <v>760</v>
          </cell>
          <cell r="D45">
            <v>0</v>
          </cell>
          <cell r="E45">
            <v>2</v>
          </cell>
          <cell r="F45">
            <v>4.43906846614629E-3</v>
          </cell>
          <cell r="G45">
            <v>2.1088076278268108E-4</v>
          </cell>
          <cell r="H45">
            <v>8.6138955831219277E-2</v>
          </cell>
          <cell r="I45">
            <v>-6.67747082234635E-2</v>
          </cell>
          <cell r="J45">
            <v>-9.4328684775722774E-2</v>
          </cell>
        </row>
        <row r="46">
          <cell r="A46" t="str">
            <v>NW</v>
          </cell>
          <cell r="B46" t="str">
            <v>F</v>
          </cell>
          <cell r="C46">
            <v>550</v>
          </cell>
          <cell r="D46">
            <v>0</v>
          </cell>
          <cell r="E46">
            <v>3</v>
          </cell>
          <cell r="F46">
            <v>9.2701941275351742E-6</v>
          </cell>
          <cell r="G46">
            <v>2.1665827166563091E-8</v>
          </cell>
          <cell r="H46">
            <v>3.9508559237558675E-3</v>
          </cell>
          <cell r="I46">
            <v>-3.0447134618599146E-3</v>
          </cell>
          <cell r="J46">
            <v>-4.3058650921853686E-3</v>
          </cell>
        </row>
        <row r="47">
          <cell r="A47" t="str">
            <v>NW</v>
          </cell>
          <cell r="B47" t="str">
            <v>F</v>
          </cell>
          <cell r="C47">
            <v>553</v>
          </cell>
          <cell r="D47">
            <v>0</v>
          </cell>
          <cell r="E47">
            <v>3</v>
          </cell>
          <cell r="F47">
            <v>1.0125223458973404E-5</v>
          </cell>
          <cell r="G47">
            <v>2.4720076134215061E-8</v>
          </cell>
          <cell r="H47">
            <v>4.130197096695553E-3</v>
          </cell>
          <cell r="I47">
            <v>-3.1820317377677979E-3</v>
          </cell>
          <cell r="J47">
            <v>-4.5000610483402212E-3</v>
          </cell>
        </row>
        <row r="48">
          <cell r="A48" t="str">
            <v>NW</v>
          </cell>
          <cell r="B48" t="str">
            <v>F</v>
          </cell>
          <cell r="C48">
            <v>560</v>
          </cell>
          <cell r="D48">
            <v>0</v>
          </cell>
          <cell r="E48">
            <v>3</v>
          </cell>
          <cell r="F48">
            <v>1.2439644892072607E-5</v>
          </cell>
          <cell r="G48">
            <v>3.3625842420428604E-8</v>
          </cell>
          <cell r="H48">
            <v>4.5809917804666336E-3</v>
          </cell>
          <cell r="I48">
            <v>-3.5270100139867264E-3</v>
          </cell>
          <cell r="J48">
            <v>-4.987929884249947E-3</v>
          </cell>
        </row>
        <row r="49">
          <cell r="A49" t="str">
            <v>NW</v>
          </cell>
          <cell r="B49" t="str">
            <v>F</v>
          </cell>
          <cell r="C49">
            <v>590</v>
          </cell>
          <cell r="D49">
            <v>0</v>
          </cell>
          <cell r="E49">
            <v>3</v>
          </cell>
          <cell r="F49">
            <v>3.0058127553411402E-5</v>
          </cell>
          <cell r="G49">
            <v>1.2561544898893999E-7</v>
          </cell>
          <cell r="H49">
            <v>7.1415777607403939E-3</v>
          </cell>
          <cell r="I49">
            <v>-5.4826117016985136E-3</v>
          </cell>
          <cell r="J49">
            <v>-7.7535255604118617E-3</v>
          </cell>
        </row>
        <row r="50">
          <cell r="A50" t="str">
            <v>NW</v>
          </cell>
          <cell r="B50" t="str">
            <v>F</v>
          </cell>
          <cell r="C50">
            <v>590</v>
          </cell>
          <cell r="D50">
            <v>0</v>
          </cell>
          <cell r="E50">
            <v>3</v>
          </cell>
          <cell r="F50">
            <v>3.0058127553411402E-5</v>
          </cell>
          <cell r="G50">
            <v>1.2561544898893999E-7</v>
          </cell>
          <cell r="H50">
            <v>7.1415777607403939E-3</v>
          </cell>
          <cell r="I50">
            <v>-5.4826117016985136E-3</v>
          </cell>
          <cell r="J50">
            <v>-7.7535255604118617E-3</v>
          </cell>
        </row>
        <row r="51">
          <cell r="A51" t="str">
            <v>NW</v>
          </cell>
          <cell r="B51" t="str">
            <v>F</v>
          </cell>
          <cell r="C51">
            <v>610</v>
          </cell>
          <cell r="D51">
            <v>0</v>
          </cell>
          <cell r="E51">
            <v>3</v>
          </cell>
          <cell r="F51">
            <v>5.4124329846346673E-5</v>
          </cell>
          <cell r="G51">
            <v>3.0220927640006274E-7</v>
          </cell>
          <cell r="H51">
            <v>9.6013914540309803E-3</v>
          </cell>
          <cell r="I51">
            <v>-7.3571230415149878E-3</v>
          </cell>
          <cell r="J51">
            <v>-1.0404402397133711E-2</v>
          </cell>
        </row>
        <row r="52">
          <cell r="A52" t="str">
            <v>NW</v>
          </cell>
          <cell r="B52" t="str">
            <v>F</v>
          </cell>
          <cell r="C52">
            <v>660</v>
          </cell>
          <cell r="D52">
            <v>0</v>
          </cell>
          <cell r="E52">
            <v>3</v>
          </cell>
          <cell r="F52">
            <v>2.3545961029987087E-4</v>
          </cell>
          <cell r="G52">
            <v>2.7040098821151879E-6</v>
          </cell>
          <cell r="H52">
            <v>2.0100618377664716E-2</v>
          </cell>
          <cell r="I52">
            <v>-1.5346500076082419E-2</v>
          </cell>
          <cell r="J52">
            <v>-2.1701950846229036E-2</v>
          </cell>
        </row>
        <row r="53">
          <cell r="A53" t="str">
            <v>NW</v>
          </cell>
          <cell r="B53" t="str">
            <v>F</v>
          </cell>
          <cell r="C53">
            <v>660</v>
          </cell>
          <cell r="D53">
            <v>0</v>
          </cell>
          <cell r="E53">
            <v>3</v>
          </cell>
          <cell r="F53">
            <v>2.3545961029987087E-4</v>
          </cell>
          <cell r="G53">
            <v>2.7040098821151879E-6</v>
          </cell>
          <cell r="H53">
            <v>2.0100618377664716E-2</v>
          </cell>
          <cell r="I53">
            <v>-1.5346500076082419E-2</v>
          </cell>
          <cell r="J53">
            <v>-2.1701950846229036E-2</v>
          </cell>
        </row>
        <row r="54">
          <cell r="A54" t="str">
            <v>NW</v>
          </cell>
          <cell r="B54" t="str">
            <v>F</v>
          </cell>
          <cell r="C54">
            <v>690</v>
          </cell>
          <cell r="D54">
            <v>0</v>
          </cell>
          <cell r="E54">
            <v>3</v>
          </cell>
          <cell r="F54">
            <v>5.6876544296338423E-4</v>
          </cell>
          <cell r="G54">
            <v>1.0038456823586928E-5</v>
          </cell>
          <cell r="H54">
            <v>3.1253551500054488E-2</v>
          </cell>
          <cell r="I54">
            <v>-2.3855588887920644E-2</v>
          </cell>
          <cell r="J54">
            <v>-3.3732098997390401E-2</v>
          </cell>
        </row>
        <row r="55">
          <cell r="A55" t="str">
            <v>NW</v>
          </cell>
          <cell r="B55" t="str">
            <v>F</v>
          </cell>
          <cell r="C55">
            <v>700</v>
          </cell>
          <cell r="D55">
            <v>0</v>
          </cell>
          <cell r="E55">
            <v>3</v>
          </cell>
          <cell r="F55">
            <v>7.6307862227861887E-4</v>
          </cell>
          <cell r="G55">
            <v>1.5532819491435804E-5</v>
          </cell>
          <cell r="H55">
            <v>3.6185778268701382E-2</v>
          </cell>
          <cell r="I55">
            <v>-2.763442338703655E-2</v>
          </cell>
          <cell r="J55">
            <v>-3.9073518269182872E-2</v>
          </cell>
        </row>
        <row r="56">
          <cell r="A56" t="str">
            <v>NW</v>
          </cell>
          <cell r="B56" t="str">
            <v>F</v>
          </cell>
          <cell r="C56">
            <v>750</v>
          </cell>
          <cell r="D56">
            <v>0</v>
          </cell>
          <cell r="E56">
            <v>3</v>
          </cell>
          <cell r="F56">
            <v>3.3117899840580142E-3</v>
          </cell>
          <cell r="G56">
            <v>1.3675916651523419E-4</v>
          </cell>
          <cell r="H56">
            <v>7.4692528367385921E-2</v>
          </cell>
          <cell r="I56">
            <v>-5.7643684660236519E-2</v>
          </cell>
          <cell r="J56">
            <v>-8.1452883294741041E-2</v>
          </cell>
        </row>
        <row r="57">
          <cell r="A57" t="str">
            <v>NW</v>
          </cell>
          <cell r="B57" t="str">
            <v>F</v>
          </cell>
          <cell r="C57">
            <v>750</v>
          </cell>
          <cell r="D57">
            <v>0</v>
          </cell>
          <cell r="E57">
            <v>3</v>
          </cell>
          <cell r="F57">
            <v>3.3117899840580142E-3</v>
          </cell>
          <cell r="G57">
            <v>1.3675916651523419E-4</v>
          </cell>
          <cell r="H57">
            <v>7.4692528367385921E-2</v>
          </cell>
          <cell r="I57">
            <v>-5.7643684660236519E-2</v>
          </cell>
          <cell r="J57">
            <v>-8.1452883294741041E-2</v>
          </cell>
        </row>
        <row r="58">
          <cell r="A58" t="str">
            <v>NW</v>
          </cell>
          <cell r="B58" t="str">
            <v>F</v>
          </cell>
          <cell r="C58">
            <v>750</v>
          </cell>
          <cell r="D58">
            <v>0</v>
          </cell>
          <cell r="E58">
            <v>3</v>
          </cell>
          <cell r="F58">
            <v>3.3117899840580142E-3</v>
          </cell>
          <cell r="G58">
            <v>1.3675916651523419E-4</v>
          </cell>
          <cell r="H58">
            <v>7.4692528367385921E-2</v>
          </cell>
          <cell r="I58">
            <v>-5.7643684660236519E-2</v>
          </cell>
          <cell r="J58">
            <v>-8.1452883294741041E-2</v>
          </cell>
        </row>
        <row r="59">
          <cell r="A59" t="str">
            <v>NW</v>
          </cell>
          <cell r="B59" t="str">
            <v>F</v>
          </cell>
          <cell r="C59">
            <v>760</v>
          </cell>
          <cell r="D59">
            <v>0</v>
          </cell>
          <cell r="E59">
            <v>3</v>
          </cell>
          <cell r="F59">
            <v>4.43906846614629E-3</v>
          </cell>
          <cell r="G59">
            <v>2.1088076278268108E-4</v>
          </cell>
          <cell r="H59">
            <v>8.6138955831219277E-2</v>
          </cell>
          <cell r="I59">
            <v>-6.67747082234635E-2</v>
          </cell>
          <cell r="J59">
            <v>-9.4328684775722774E-2</v>
          </cell>
        </row>
        <row r="60">
          <cell r="A60" t="str">
            <v>NW</v>
          </cell>
          <cell r="B60" t="str">
            <v>F</v>
          </cell>
          <cell r="C60">
            <v>770</v>
          </cell>
          <cell r="D60">
            <v>0</v>
          </cell>
          <cell r="E60">
            <v>3</v>
          </cell>
          <cell r="F60">
            <v>5.947764099234744E-3</v>
          </cell>
          <cell r="G60">
            <v>3.2488269308966316E-4</v>
          </cell>
          <cell r="H60">
            <v>9.922841224411573E-2</v>
          </cell>
          <cell r="I60">
            <v>-7.7352127724140338E-2</v>
          </cell>
          <cell r="J60">
            <v>-0.10922932297067524</v>
          </cell>
        </row>
        <row r="61">
          <cell r="A61" t="str">
            <v>NW</v>
          </cell>
          <cell r="B61" t="str">
            <v>F</v>
          </cell>
          <cell r="C61">
            <v>780</v>
          </cell>
          <cell r="D61">
            <v>0</v>
          </cell>
          <cell r="E61">
            <v>3</v>
          </cell>
          <cell r="F61">
            <v>7.9651141488049672E-3</v>
          </cell>
          <cell r="G61">
            <v>4.9998877628069807E-4</v>
          </cell>
          <cell r="H61">
            <v>0.11415860131813149</v>
          </cell>
          <cell r="I61">
            <v>-8.9605058900868007E-2</v>
          </cell>
          <cell r="J61">
            <v>-0.12646742763977351</v>
          </cell>
        </row>
        <row r="62">
          <cell r="A62" t="str">
            <v>NW</v>
          </cell>
          <cell r="B62" t="str">
            <v>F</v>
          </cell>
          <cell r="C62">
            <v>780</v>
          </cell>
          <cell r="D62">
            <v>0</v>
          </cell>
          <cell r="E62">
            <v>3</v>
          </cell>
          <cell r="F62">
            <v>7.9651141488049672E-3</v>
          </cell>
          <cell r="G62">
            <v>4.9998877628069807E-4</v>
          </cell>
          <cell r="H62">
            <v>0.11415860131813149</v>
          </cell>
          <cell r="I62">
            <v>-8.9605058900868007E-2</v>
          </cell>
          <cell r="J62">
            <v>-0.12646742763977351</v>
          </cell>
        </row>
        <row r="63">
          <cell r="A63" t="str">
            <v>NW</v>
          </cell>
          <cell r="B63" t="str">
            <v>F</v>
          </cell>
          <cell r="C63">
            <v>800</v>
          </cell>
          <cell r="D63">
            <v>0</v>
          </cell>
          <cell r="E63">
            <v>3</v>
          </cell>
          <cell r="F63">
            <v>1.4251877446441861E-2</v>
          </cell>
          <cell r="G63">
            <v>1.1795449573334519E-3</v>
          </cell>
          <cell r="H63">
            <v>0.15038583015489951</v>
          </cell>
          <cell r="I63">
            <v>-0.12024113312121892</v>
          </cell>
          <cell r="J63">
            <v>-0.16943677766658594</v>
          </cell>
        </row>
        <row r="64">
          <cell r="A64" t="str">
            <v>NW</v>
          </cell>
          <cell r="B64" t="str">
            <v>F</v>
          </cell>
          <cell r="C64">
            <v>800</v>
          </cell>
          <cell r="D64">
            <v>0</v>
          </cell>
          <cell r="E64">
            <v>3</v>
          </cell>
          <cell r="F64">
            <v>1.4251877446441861E-2</v>
          </cell>
          <cell r="G64">
            <v>1.1795449573334519E-3</v>
          </cell>
          <cell r="H64">
            <v>0.15038583015489951</v>
          </cell>
          <cell r="I64">
            <v>-0.12024113312121892</v>
          </cell>
          <cell r="J64">
            <v>-0.16943677766658594</v>
          </cell>
        </row>
        <row r="65">
          <cell r="A65" t="str">
            <v>NW</v>
          </cell>
          <cell r="B65" t="str">
            <v>F</v>
          </cell>
          <cell r="C65">
            <v>820</v>
          </cell>
          <cell r="D65">
            <v>0</v>
          </cell>
          <cell r="E65">
            <v>3</v>
          </cell>
          <cell r="F65">
            <v>2.537378584342374E-2</v>
          </cell>
          <cell r="G65">
            <v>2.762807564430798E-3</v>
          </cell>
          <cell r="H65">
            <v>0.19656018209866208</v>
          </cell>
          <cell r="I65">
            <v>-0.16135171687426489</v>
          </cell>
          <cell r="J65">
            <v>-0.22672120141359223</v>
          </cell>
        </row>
        <row r="66">
          <cell r="A66" t="str">
            <v>NW</v>
          </cell>
          <cell r="B66" t="str">
            <v>F</v>
          </cell>
          <cell r="C66">
            <v>830</v>
          </cell>
          <cell r="D66">
            <v>0</v>
          </cell>
          <cell r="E66">
            <v>3</v>
          </cell>
          <cell r="F66">
            <v>3.3756266190862957E-2</v>
          </cell>
          <cell r="G66">
            <v>4.2124878038107281E-3</v>
          </cell>
          <cell r="H66">
            <v>0.22391081691696393</v>
          </cell>
          <cell r="I66">
            <v>-0.18691056755201058</v>
          </cell>
          <cell r="J66">
            <v>-0.26206550388492034</v>
          </cell>
        </row>
        <row r="67">
          <cell r="A67" t="str">
            <v>NW</v>
          </cell>
          <cell r="B67" t="str">
            <v>F</v>
          </cell>
          <cell r="C67">
            <v>830</v>
          </cell>
          <cell r="D67">
            <v>0</v>
          </cell>
          <cell r="E67">
            <v>3</v>
          </cell>
          <cell r="F67">
            <v>3.3756266190862957E-2</v>
          </cell>
          <cell r="G67">
            <v>4.2124878038107281E-3</v>
          </cell>
          <cell r="H67">
            <v>0.22391081691696393</v>
          </cell>
          <cell r="I67">
            <v>-0.18691056755201058</v>
          </cell>
          <cell r="J67">
            <v>-0.26206550388492034</v>
          </cell>
        </row>
        <row r="68">
          <cell r="A68" t="str">
            <v>NW</v>
          </cell>
          <cell r="B68" t="str">
            <v>F</v>
          </cell>
          <cell r="C68">
            <v>660</v>
          </cell>
          <cell r="D68">
            <v>0</v>
          </cell>
          <cell r="E68">
            <v>4</v>
          </cell>
          <cell r="F68">
            <v>2.3545961029987087E-4</v>
          </cell>
          <cell r="G68">
            <v>2.7040098821151879E-6</v>
          </cell>
          <cell r="H68">
            <v>2.0100618377664716E-2</v>
          </cell>
          <cell r="I68">
            <v>-1.5346500076082419E-2</v>
          </cell>
          <cell r="J68">
            <v>-2.1701950846229036E-2</v>
          </cell>
        </row>
        <row r="69">
          <cell r="A69" t="str">
            <v>NW</v>
          </cell>
          <cell r="B69" t="str">
            <v>F</v>
          </cell>
          <cell r="C69">
            <v>740</v>
          </cell>
          <cell r="D69">
            <v>0</v>
          </cell>
          <cell r="E69">
            <v>4</v>
          </cell>
          <cell r="F69">
            <v>2.4700677926057998E-3</v>
          </cell>
          <cell r="G69">
            <v>8.8621247813521715E-5</v>
          </cell>
          <cell r="H69">
            <v>6.4705041039984909E-2</v>
          </cell>
          <cell r="I69">
            <v>-4.9761271439613897E-2</v>
          </cell>
          <cell r="J69">
            <v>-7.0329559118033277E-2</v>
          </cell>
        </row>
        <row r="70">
          <cell r="A70" t="str">
            <v>NW</v>
          </cell>
          <cell r="B70" t="str">
            <v>F</v>
          </cell>
          <cell r="C70">
            <v>770</v>
          </cell>
          <cell r="D70">
            <v>0</v>
          </cell>
          <cell r="E70">
            <v>4</v>
          </cell>
          <cell r="F70">
            <v>5.947764099234744E-3</v>
          </cell>
          <cell r="G70">
            <v>3.2488269308966316E-4</v>
          </cell>
          <cell r="H70">
            <v>9.922841224411573E-2</v>
          </cell>
          <cell r="I70">
            <v>-7.7352127724140338E-2</v>
          </cell>
          <cell r="J70">
            <v>-0.10922932297067524</v>
          </cell>
        </row>
        <row r="71">
          <cell r="A71" t="str">
            <v>NW</v>
          </cell>
          <cell r="B71" t="str">
            <v>F</v>
          </cell>
          <cell r="C71">
            <v>790</v>
          </cell>
          <cell r="D71">
            <v>0</v>
          </cell>
          <cell r="E71">
            <v>4</v>
          </cell>
          <cell r="F71">
            <v>1.0659367510931727E-2</v>
          </cell>
          <cell r="G71">
            <v>7.6852319375848182E-4</v>
          </cell>
          <cell r="H71">
            <v>0.13113867031689</v>
          </cell>
          <cell r="I71">
            <v>-0.10379891047421418</v>
          </cell>
          <cell r="J71">
            <v>-0.14640072088183231</v>
          </cell>
        </row>
        <row r="72">
          <cell r="A72" t="str">
            <v>NW</v>
          </cell>
          <cell r="B72" t="str">
            <v>F</v>
          </cell>
          <cell r="C72">
            <v>790</v>
          </cell>
          <cell r="D72">
            <v>0</v>
          </cell>
          <cell r="E72">
            <v>4</v>
          </cell>
          <cell r="F72">
            <v>1.0659367510931727E-2</v>
          </cell>
          <cell r="G72">
            <v>7.6852319375848182E-4</v>
          </cell>
          <cell r="H72">
            <v>0.13113867031689</v>
          </cell>
          <cell r="I72">
            <v>-0.10379891047421418</v>
          </cell>
          <cell r="J72">
            <v>-0.14640072088183231</v>
          </cell>
        </row>
        <row r="73">
          <cell r="A73" t="str">
            <v>NW</v>
          </cell>
          <cell r="B73" t="str">
            <v>F</v>
          </cell>
          <cell r="C73">
            <v>810</v>
          </cell>
          <cell r="D73">
            <v>0</v>
          </cell>
          <cell r="E73">
            <v>4</v>
          </cell>
          <cell r="F73">
            <v>1.9031873730075928E-2</v>
          </cell>
          <cell r="G73">
            <v>1.8071828935503518E-3</v>
          </cell>
          <cell r="H73">
            <v>0.17212055429264003</v>
          </cell>
          <cell r="I73">
            <v>-0.13928787911378257</v>
          </cell>
          <cell r="J73">
            <v>-0.19603729749636936</v>
          </cell>
        </row>
        <row r="74">
          <cell r="A74" t="str">
            <v>NW</v>
          </cell>
          <cell r="B74" t="str">
            <v>F</v>
          </cell>
          <cell r="C74">
            <v>820</v>
          </cell>
          <cell r="D74">
            <v>0</v>
          </cell>
          <cell r="E74">
            <v>4</v>
          </cell>
          <cell r="F74">
            <v>2.537378584342374E-2</v>
          </cell>
          <cell r="G74">
            <v>2.762807564430798E-3</v>
          </cell>
          <cell r="H74">
            <v>0.19656018209866208</v>
          </cell>
          <cell r="I74">
            <v>-0.16135171687426489</v>
          </cell>
          <cell r="J74">
            <v>-0.22672120141359223</v>
          </cell>
        </row>
        <row r="75">
          <cell r="A75" t="str">
            <v>NW</v>
          </cell>
          <cell r="B75" t="str">
            <v>F</v>
          </cell>
          <cell r="C75">
            <v>840</v>
          </cell>
          <cell r="D75">
            <v>0</v>
          </cell>
          <cell r="E75">
            <v>4</v>
          </cell>
          <cell r="F75">
            <v>4.4780744686426802E-2</v>
          </cell>
          <cell r="G75">
            <v>6.4013799241328401E-3</v>
          </cell>
          <cell r="H75">
            <v>0.25435748621275273</v>
          </cell>
          <cell r="I75">
            <v>-0.21651805719451139</v>
          </cell>
          <cell r="J75">
            <v>-0.30270242198112735</v>
          </cell>
        </row>
        <row r="76">
          <cell r="A76" t="str">
            <v>NW</v>
          </cell>
          <cell r="B76" t="str">
            <v>F</v>
          </cell>
          <cell r="C76">
            <v>860</v>
          </cell>
          <cell r="D76">
            <v>0</v>
          </cell>
          <cell r="E76">
            <v>4</v>
          </cell>
          <cell r="F76">
            <v>7.7845414341350838E-2</v>
          </cell>
          <cell r="G76">
            <v>1.4578011468380234E-2</v>
          </cell>
          <cell r="H76">
            <v>0.32510254048826764</v>
          </cell>
          <cell r="I76">
            <v>-0.29054583365739789</v>
          </cell>
          <cell r="J76">
            <v>-0.40259758090506725</v>
          </cell>
        </row>
        <row r="77">
          <cell r="A77" t="str">
            <v>NW</v>
          </cell>
          <cell r="B77" t="str">
            <v>F</v>
          </cell>
          <cell r="C77">
            <v>870</v>
          </cell>
          <cell r="D77">
            <v>0</v>
          </cell>
          <cell r="E77">
            <v>4</v>
          </cell>
          <cell r="F77">
            <v>0.1017526607266227</v>
          </cell>
          <cell r="G77">
            <v>2.1786103227920281E-2</v>
          </cell>
          <cell r="H77">
            <v>0.36555243222528072</v>
          </cell>
          <cell r="I77">
            <v>-0.33656962392965989</v>
          </cell>
          <cell r="J77">
            <v>-0.46327057993249043</v>
          </cell>
        </row>
        <row r="78">
          <cell r="A78" t="str">
            <v>NW</v>
          </cell>
          <cell r="B78" t="str">
            <v>F</v>
          </cell>
          <cell r="C78">
            <v>880</v>
          </cell>
          <cell r="D78">
            <v>0</v>
          </cell>
          <cell r="E78">
            <v>5</v>
          </cell>
          <cell r="F78">
            <v>0.13195150658665322</v>
          </cell>
          <cell r="G78">
            <v>3.2262820477489414E-2</v>
          </cell>
          <cell r="H78">
            <v>0.40936739204379846</v>
          </cell>
          <cell r="I78">
            <v>-0.3898837932941337</v>
          </cell>
          <cell r="J78">
            <v>-0.53199191327428674</v>
          </cell>
        </row>
        <row r="79">
          <cell r="A79" t="str">
            <v>NW</v>
          </cell>
          <cell r="B79" t="str">
            <v>F</v>
          </cell>
          <cell r="C79">
            <v>900</v>
          </cell>
          <cell r="D79">
            <v>0</v>
          </cell>
          <cell r="E79">
            <v>5</v>
          </cell>
          <cell r="F79">
            <v>0.214899995613857</v>
          </cell>
          <cell r="G79">
            <v>6.8060216136678647E-2</v>
          </cell>
          <cell r="H79">
            <v>0.50639932983963454</v>
          </cell>
          <cell r="I79">
            <v>-0.52318551727252527</v>
          </cell>
          <cell r="J79">
            <v>-0.69562083808810049</v>
          </cell>
        </row>
        <row r="80">
          <cell r="A80" t="str">
            <v>NW</v>
          </cell>
          <cell r="B80" t="str">
            <v>F</v>
          </cell>
          <cell r="C80">
            <v>900</v>
          </cell>
          <cell r="D80">
            <v>0</v>
          </cell>
          <cell r="E80">
            <v>5</v>
          </cell>
          <cell r="F80">
            <v>0.214899995613857</v>
          </cell>
          <cell r="G80">
            <v>6.8060216136678647E-2</v>
          </cell>
          <cell r="H80">
            <v>0.50639932983963454</v>
          </cell>
          <cell r="I80">
            <v>-0.52318551727252527</v>
          </cell>
          <cell r="J80">
            <v>-0.69562083808810049</v>
          </cell>
        </row>
        <row r="81">
          <cell r="A81" t="str">
            <v>NW</v>
          </cell>
          <cell r="B81" t="str">
            <v>F</v>
          </cell>
          <cell r="C81">
            <v>920</v>
          </cell>
          <cell r="D81">
            <v>1</v>
          </cell>
          <cell r="E81">
            <v>5</v>
          </cell>
          <cell r="F81">
            <v>0.33015954700738576</v>
          </cell>
          <cell r="G81">
            <v>0.13291782250900963</v>
          </cell>
          <cell r="H81">
            <v>0.61312699872166521</v>
          </cell>
          <cell r="I81">
            <v>1.4243730761880615</v>
          </cell>
          <cell r="J81">
            <v>1.4887439441209573</v>
          </cell>
        </row>
        <row r="82">
          <cell r="A82" t="str">
            <v>NW</v>
          </cell>
          <cell r="B82" t="str">
            <v>F</v>
          </cell>
          <cell r="C82">
            <v>945</v>
          </cell>
          <cell r="D82">
            <v>1</v>
          </cell>
          <cell r="E82">
            <v>5</v>
          </cell>
          <cell r="F82">
            <v>0.506938288098436</v>
          </cell>
          <cell r="G82">
            <v>0.2618086663822769</v>
          </cell>
          <cell r="H82">
            <v>0.74877676385328473</v>
          </cell>
          <cell r="I82">
            <v>0.98621838116815552</v>
          </cell>
          <cell r="J82">
            <v>1.1656466038438509</v>
          </cell>
        </row>
        <row r="83">
          <cell r="A83" t="str">
            <v>NW</v>
          </cell>
          <cell r="B83" t="str">
            <v>F</v>
          </cell>
          <cell r="C83">
            <v>960</v>
          </cell>
          <cell r="D83">
            <v>1</v>
          </cell>
          <cell r="E83">
            <v>5</v>
          </cell>
          <cell r="F83">
            <v>0.6151200581182249</v>
          </cell>
          <cell r="G83">
            <v>0.35621372015881897</v>
          </cell>
          <cell r="H83">
            <v>0.82194894637610305</v>
          </cell>
          <cell r="I83">
            <v>0.79101131280864956</v>
          </cell>
          <cell r="J83">
            <v>0.98583752593971907</v>
          </cell>
        </row>
        <row r="84">
          <cell r="A84" t="str">
            <v>NW</v>
          </cell>
          <cell r="B84" t="str">
            <v>F</v>
          </cell>
          <cell r="C84">
            <v>1020</v>
          </cell>
          <cell r="D84">
            <v>1</v>
          </cell>
          <cell r="E84">
            <v>5</v>
          </cell>
          <cell r="F84">
            <v>0.90320990880449026</v>
          </cell>
          <cell r="G84">
            <v>0.68829104361173199</v>
          </cell>
          <cell r="H84">
            <v>0.97526955586855213</v>
          </cell>
          <cell r="I84">
            <v>0.32735660107922276</v>
          </cell>
          <cell r="J84">
            <v>0.45122122164476774</v>
          </cell>
        </row>
        <row r="85">
          <cell r="A85" t="str">
            <v>NW</v>
          </cell>
          <cell r="B85" t="str">
            <v>F</v>
          </cell>
          <cell r="C85">
            <v>1030</v>
          </cell>
          <cell r="D85">
            <v>1</v>
          </cell>
          <cell r="E85">
            <v>5</v>
          </cell>
          <cell r="F85">
            <v>0.9260471722419894</v>
          </cell>
          <cell r="G85">
            <v>0.7274871510909916</v>
          </cell>
          <cell r="H85">
            <v>0.98326020422194749</v>
          </cell>
          <cell r="I85">
            <v>0.28259263403904972</v>
          </cell>
          <cell r="J85">
            <v>0.3919951624381649</v>
          </cell>
        </row>
        <row r="86">
          <cell r="A86" t="str">
            <v>NW</v>
          </cell>
          <cell r="B86" t="str">
            <v>F</v>
          </cell>
          <cell r="C86">
            <v>1000</v>
          </cell>
          <cell r="D86">
            <v>1</v>
          </cell>
          <cell r="E86">
            <v>6</v>
          </cell>
          <cell r="F86">
            <v>0.83824608508347354</v>
          </cell>
          <cell r="G86">
            <v>0.59537049476990422</v>
          </cell>
          <cell r="H86">
            <v>0.94805657884408101</v>
          </cell>
          <cell r="I86">
            <v>0.43928020506100296</v>
          </cell>
          <cell r="J86">
            <v>0.59404303546376624</v>
          </cell>
        </row>
        <row r="87">
          <cell r="A87" t="str">
            <v>NW</v>
          </cell>
          <cell r="B87" t="str">
            <v>F</v>
          </cell>
          <cell r="C87">
            <v>1000</v>
          </cell>
          <cell r="D87">
            <v>1</v>
          </cell>
          <cell r="E87">
            <v>6</v>
          </cell>
          <cell r="F87">
            <v>0.83824608508347354</v>
          </cell>
          <cell r="G87">
            <v>0.59537049476990422</v>
          </cell>
          <cell r="H87">
            <v>0.94805657884408101</v>
          </cell>
          <cell r="I87">
            <v>0.43928020506100296</v>
          </cell>
          <cell r="J87">
            <v>0.59404303546376624</v>
          </cell>
        </row>
        <row r="88">
          <cell r="A88" t="str">
            <v>NW</v>
          </cell>
          <cell r="B88" t="str">
            <v>F</v>
          </cell>
          <cell r="C88">
            <v>1000</v>
          </cell>
          <cell r="D88">
            <v>1</v>
          </cell>
          <cell r="E88">
            <v>6</v>
          </cell>
          <cell r="F88">
            <v>0.83824608508347354</v>
          </cell>
          <cell r="G88">
            <v>0.59537049476990422</v>
          </cell>
          <cell r="H88">
            <v>0.94805657884408101</v>
          </cell>
          <cell r="I88">
            <v>0.43928020506100296</v>
          </cell>
          <cell r="J88">
            <v>0.59404303546376624</v>
          </cell>
        </row>
        <row r="89">
          <cell r="A89" t="str">
            <v>NW</v>
          </cell>
          <cell r="B89" t="str">
            <v>F</v>
          </cell>
          <cell r="C89">
            <v>1010</v>
          </cell>
          <cell r="D89">
            <v>1</v>
          </cell>
          <cell r="E89">
            <v>6</v>
          </cell>
          <cell r="F89">
            <v>0.87427774560839444</v>
          </cell>
          <cell r="G89">
            <v>0.64432830131311203</v>
          </cell>
          <cell r="H89">
            <v>0.9638913337962266</v>
          </cell>
          <cell r="I89">
            <v>0.37921138544373073</v>
          </cell>
          <cell r="J89">
            <v>0.51837663348730989</v>
          </cell>
        </row>
        <row r="90">
          <cell r="A90" t="str">
            <v>NW</v>
          </cell>
          <cell r="B90" t="str">
            <v>F</v>
          </cell>
          <cell r="C90">
            <v>1020</v>
          </cell>
          <cell r="D90">
            <v>0</v>
          </cell>
          <cell r="E90">
            <v>6</v>
          </cell>
          <cell r="F90">
            <v>0.90320990880449026</v>
          </cell>
          <cell r="G90">
            <v>0.68829104361173199</v>
          </cell>
          <cell r="H90">
            <v>0.97526955586855213</v>
          </cell>
          <cell r="I90">
            <v>-3.0547726751292639</v>
          </cell>
          <cell r="J90">
            <v>-2.1611157551699427</v>
          </cell>
        </row>
        <row r="91">
          <cell r="A91" t="str">
            <v>NW</v>
          </cell>
          <cell r="B91" t="str">
            <v>F</v>
          </cell>
          <cell r="C91">
            <v>1040</v>
          </cell>
          <cell r="D91">
            <v>1</v>
          </cell>
          <cell r="E91">
            <v>6</v>
          </cell>
          <cell r="F91">
            <v>0.94383115992059385</v>
          </cell>
          <cell r="G91">
            <v>0.76224906648812707</v>
          </cell>
          <cell r="H91">
            <v>0.98877274860063169</v>
          </cell>
          <cell r="I91">
            <v>0.24394985941890898</v>
          </cell>
          <cell r="J91">
            <v>0.34002348404073857</v>
          </cell>
        </row>
        <row r="92">
          <cell r="A92" t="str">
            <v>NW</v>
          </cell>
          <cell r="B92" t="str">
            <v>F</v>
          </cell>
          <cell r="C92">
            <v>920</v>
          </cell>
          <cell r="D92">
            <v>0</v>
          </cell>
          <cell r="E92">
            <v>7</v>
          </cell>
          <cell r="F92">
            <v>0.33015954700738576</v>
          </cell>
          <cell r="G92">
            <v>0.13291782250900963</v>
          </cell>
          <cell r="H92">
            <v>0.61312699872166521</v>
          </cell>
          <cell r="I92">
            <v>-0.70206325626164034</v>
          </cell>
          <cell r="J92">
            <v>-0.89522703803706982</v>
          </cell>
        </row>
        <row r="93">
          <cell r="A93" t="str">
            <v>NW</v>
          </cell>
          <cell r="B93" t="str">
            <v>F</v>
          </cell>
          <cell r="C93">
            <v>1020</v>
          </cell>
          <cell r="D93">
            <v>1</v>
          </cell>
          <cell r="E93">
            <v>7</v>
          </cell>
          <cell r="F93">
            <v>0.90320990880449026</v>
          </cell>
          <cell r="G93">
            <v>0.68829104361173199</v>
          </cell>
          <cell r="H93">
            <v>0.97526955586855213</v>
          </cell>
          <cell r="I93">
            <v>0.32735660107922276</v>
          </cell>
          <cell r="J93">
            <v>0.45122122164476774</v>
          </cell>
        </row>
        <row r="94">
          <cell r="A94" t="str">
            <v>NW</v>
          </cell>
          <cell r="B94" t="str">
            <v>F</v>
          </cell>
          <cell r="C94">
            <v>1020</v>
          </cell>
          <cell r="D94">
            <v>1</v>
          </cell>
          <cell r="E94">
            <v>7</v>
          </cell>
          <cell r="F94">
            <v>0.90320990880449026</v>
          </cell>
          <cell r="G94">
            <v>0.68829104361173199</v>
          </cell>
          <cell r="H94">
            <v>0.97526955586855213</v>
          </cell>
          <cell r="I94">
            <v>0.32735660107922276</v>
          </cell>
          <cell r="J94">
            <v>0.45122122164476774</v>
          </cell>
        </row>
        <row r="95">
          <cell r="A95" t="str">
            <v>NW</v>
          </cell>
          <cell r="B95" t="str">
            <v>F</v>
          </cell>
          <cell r="C95">
            <v>1030</v>
          </cell>
          <cell r="D95">
            <v>1</v>
          </cell>
          <cell r="E95">
            <v>7</v>
          </cell>
          <cell r="F95">
            <v>0.9260471722419894</v>
          </cell>
          <cell r="G95">
            <v>0.7274871510909916</v>
          </cell>
          <cell r="H95">
            <v>0.98326020422194749</v>
          </cell>
          <cell r="I95">
            <v>0.28259263403904972</v>
          </cell>
          <cell r="J95">
            <v>0.3919951624381649</v>
          </cell>
        </row>
        <row r="96">
          <cell r="A96" t="str">
            <v>NW</v>
          </cell>
          <cell r="B96" t="str">
            <v>F</v>
          </cell>
          <cell r="C96">
            <v>1030</v>
          </cell>
          <cell r="D96">
            <v>1</v>
          </cell>
          <cell r="E96">
            <v>7</v>
          </cell>
          <cell r="F96">
            <v>0.9260471722419894</v>
          </cell>
          <cell r="G96">
            <v>0.7274871510909916</v>
          </cell>
          <cell r="H96">
            <v>0.98326020422194749</v>
          </cell>
          <cell r="I96">
            <v>0.28259263403904972</v>
          </cell>
          <cell r="J96">
            <v>0.3919951624381649</v>
          </cell>
        </row>
        <row r="97">
          <cell r="A97" t="str">
            <v>NW</v>
          </cell>
          <cell r="B97" t="str">
            <v>F</v>
          </cell>
          <cell r="C97">
            <v>1050</v>
          </cell>
          <cell r="D97">
            <v>1</v>
          </cell>
          <cell r="E97">
            <v>7</v>
          </cell>
          <cell r="F97">
            <v>0.95753461213412683</v>
          </cell>
          <cell r="G97">
            <v>0.79295060769862269</v>
          </cell>
          <cell r="H97">
            <v>0.99252391238543303</v>
          </cell>
          <cell r="I97">
            <v>0.21059124245355262</v>
          </cell>
          <cell r="J97">
            <v>0.29459602895396569</v>
          </cell>
        </row>
        <row r="98">
          <cell r="A98" t="str">
            <v>NW</v>
          </cell>
          <cell r="B98" t="str">
            <v>F</v>
          </cell>
          <cell r="C98">
            <v>1190</v>
          </cell>
          <cell r="D98">
            <v>1</v>
          </cell>
          <cell r="E98">
            <v>7</v>
          </cell>
          <cell r="F98">
            <v>0.99927809582629634</v>
          </cell>
          <cell r="G98">
            <v>0.97298232271715424</v>
          </cell>
          <cell r="H98">
            <v>0.99998120531083823</v>
          </cell>
          <cell r="I98">
            <v>2.6877977896945227E-2</v>
          </cell>
          <cell r="J98">
            <v>3.8004338489054885E-2</v>
          </cell>
        </row>
        <row r="99">
          <cell r="A99" t="str">
            <v>NW</v>
          </cell>
          <cell r="B99" t="str">
            <v>F</v>
          </cell>
          <cell r="C99">
            <v>1000</v>
          </cell>
          <cell r="D99">
            <v>1</v>
          </cell>
          <cell r="E99">
            <v>8</v>
          </cell>
          <cell r="F99">
            <v>0.83824608508347354</v>
          </cell>
          <cell r="G99">
            <v>0.59537049476990422</v>
          </cell>
          <cell r="H99">
            <v>0.94805657884408101</v>
          </cell>
          <cell r="I99">
            <v>0.43928020506100296</v>
          </cell>
          <cell r="J99">
            <v>0.59404303546376624</v>
          </cell>
        </row>
        <row r="100">
          <cell r="A100" t="str">
            <v>NW</v>
          </cell>
          <cell r="B100" t="str">
            <v>F</v>
          </cell>
          <cell r="C100">
            <v>1080</v>
          </cell>
          <cell r="D100">
            <v>0</v>
          </cell>
          <cell r="E100">
            <v>8</v>
          </cell>
          <cell r="F100">
            <v>0.98197727486968189</v>
          </cell>
          <cell r="G100">
            <v>0.86444361134782044</v>
          </cell>
          <cell r="H100">
            <v>0.9978565033235357</v>
          </cell>
          <cell r="I100">
            <v>-7.3814297195162224</v>
          </cell>
          <cell r="J100">
            <v>-2.8341213136131618</v>
          </cell>
        </row>
        <row r="101">
          <cell r="A101" t="str">
            <v>NW</v>
          </cell>
          <cell r="B101" t="str">
            <v>F</v>
          </cell>
          <cell r="C101">
            <v>450</v>
          </cell>
          <cell r="D101">
            <v>0</v>
          </cell>
          <cell r="E101">
            <v>1</v>
          </cell>
          <cell r="F101">
            <v>4.8965177806341104E-7</v>
          </cell>
          <cell r="G101">
            <v>2.6584790614905664E-10</v>
          </cell>
          <cell r="H101">
            <v>9.0105303555031277E-4</v>
          </cell>
          <cell r="I101">
            <v>-6.9975139715644161E-4</v>
          </cell>
          <cell r="J101">
            <v>-9.8959779500858722E-4</v>
          </cell>
        </row>
        <row r="102">
          <cell r="A102" t="str">
            <v>NW</v>
          </cell>
          <cell r="B102" t="str">
            <v>F</v>
          </cell>
          <cell r="C102">
            <v>460</v>
          </cell>
          <cell r="D102">
            <v>0</v>
          </cell>
          <cell r="E102">
            <v>1</v>
          </cell>
          <cell r="F102">
            <v>6.5706418247740938E-7</v>
          </cell>
          <cell r="G102">
            <v>4.1294231751152077E-10</v>
          </cell>
          <cell r="H102">
            <v>1.0444146302565802E-3</v>
          </cell>
          <cell r="I102">
            <v>-8.105952221738248E-4</v>
          </cell>
          <cell r="J102">
            <v>-1.1463545684858539E-3</v>
          </cell>
        </row>
        <row r="103">
          <cell r="A103" t="str">
            <v>NW</v>
          </cell>
          <cell r="B103" t="str">
            <v>F</v>
          </cell>
          <cell r="C103">
            <v>470</v>
          </cell>
          <cell r="D103">
            <v>0</v>
          </cell>
          <cell r="E103">
            <v>1</v>
          </cell>
          <cell r="F103">
            <v>8.8171499527779487E-7</v>
          </cell>
          <cell r="G103">
            <v>6.4138543950096437E-10</v>
          </cell>
          <cell r="H103">
            <v>1.2106316778588097E-3</v>
          </cell>
          <cell r="I103">
            <v>-9.3899721655594528E-4</v>
          </cell>
          <cell r="J103">
            <v>-1.3279423059671394E-3</v>
          </cell>
        </row>
        <row r="104">
          <cell r="A104" t="str">
            <v>NW</v>
          </cell>
          <cell r="B104" t="str">
            <v>F</v>
          </cell>
          <cell r="C104">
            <v>510</v>
          </cell>
          <cell r="D104">
            <v>0</v>
          </cell>
          <cell r="E104">
            <v>1</v>
          </cell>
          <cell r="F104">
            <v>2.8589692921680912E-6</v>
          </cell>
          <cell r="G104">
            <v>3.7302555892357371E-9</v>
          </cell>
          <cell r="H104">
            <v>2.1864134302593753E-3</v>
          </cell>
          <cell r="I104">
            <v>-1.6908511069567524E-3</v>
          </cell>
          <cell r="J104">
            <v>-2.3912228583001507E-3</v>
          </cell>
        </row>
        <row r="105">
          <cell r="A105" t="str">
            <v>NW</v>
          </cell>
          <cell r="B105" t="str">
            <v>F</v>
          </cell>
          <cell r="C105">
            <v>550</v>
          </cell>
          <cell r="D105">
            <v>0</v>
          </cell>
          <cell r="E105">
            <v>1</v>
          </cell>
          <cell r="F105">
            <v>9.2701941275351742E-6</v>
          </cell>
          <cell r="G105">
            <v>2.1665827166563091E-8</v>
          </cell>
          <cell r="H105">
            <v>3.9508559237558675E-3</v>
          </cell>
          <cell r="I105">
            <v>-3.0447134618599146E-3</v>
          </cell>
          <cell r="J105">
            <v>-4.3058650921853686E-3</v>
          </cell>
        </row>
        <row r="106">
          <cell r="A106" t="str">
            <v>NW</v>
          </cell>
          <cell r="B106" t="str">
            <v>F</v>
          </cell>
          <cell r="C106">
            <v>640</v>
          </cell>
          <cell r="D106">
            <v>0</v>
          </cell>
          <cell r="E106">
            <v>1</v>
          </cell>
          <cell r="F106">
            <v>1.307738267572986E-4</v>
          </cell>
          <cell r="G106">
            <v>1.1262031409715217E-6</v>
          </cell>
          <cell r="H106">
            <v>1.4962046556745684E-2</v>
          </cell>
          <cell r="I106">
            <v>-1.1436386264367901E-2</v>
          </cell>
          <cell r="J106">
            <v>-1.6172963760532143E-2</v>
          </cell>
        </row>
        <row r="107">
          <cell r="A107" t="str">
            <v>NW</v>
          </cell>
          <cell r="B107" t="str">
            <v>F</v>
          </cell>
          <cell r="C107">
            <v>660</v>
          </cell>
          <cell r="D107">
            <v>0</v>
          </cell>
          <cell r="E107">
            <v>1</v>
          </cell>
          <cell r="F107">
            <v>2.3545961029987087E-4</v>
          </cell>
          <cell r="G107">
            <v>2.7040098821151879E-6</v>
          </cell>
          <cell r="H107">
            <v>2.0100618377664716E-2</v>
          </cell>
          <cell r="I107">
            <v>-1.5346500076082419E-2</v>
          </cell>
          <cell r="J107">
            <v>-2.1701950846229036E-2</v>
          </cell>
        </row>
        <row r="108">
          <cell r="A108" t="str">
            <v>NW</v>
          </cell>
          <cell r="B108" t="str">
            <v>F</v>
          </cell>
          <cell r="C108">
            <v>700</v>
          </cell>
          <cell r="D108">
            <v>0</v>
          </cell>
          <cell r="E108">
            <v>1</v>
          </cell>
          <cell r="F108">
            <v>7.6307862227861887E-4</v>
          </cell>
          <cell r="G108">
            <v>1.5532819491435804E-5</v>
          </cell>
          <cell r="H108">
            <v>3.6185778268701382E-2</v>
          </cell>
          <cell r="I108">
            <v>-2.763442338703655E-2</v>
          </cell>
          <cell r="J108">
            <v>-3.9073518269182872E-2</v>
          </cell>
        </row>
        <row r="109">
          <cell r="A109" t="str">
            <v>NW</v>
          </cell>
          <cell r="B109" t="str">
            <v>F</v>
          </cell>
          <cell r="C109">
            <v>790</v>
          </cell>
          <cell r="D109">
            <v>0</v>
          </cell>
          <cell r="E109">
            <v>1</v>
          </cell>
          <cell r="F109">
            <v>1.0659367510931727E-2</v>
          </cell>
          <cell r="G109">
            <v>7.6852319375848182E-4</v>
          </cell>
          <cell r="H109">
            <v>0.13113867031689</v>
          </cell>
          <cell r="I109">
            <v>-0.10379891047421418</v>
          </cell>
          <cell r="J109">
            <v>-0.14640072088183231</v>
          </cell>
        </row>
        <row r="110">
          <cell r="A110" t="str">
            <v>NW</v>
          </cell>
          <cell r="B110" t="str">
            <v>F</v>
          </cell>
          <cell r="C110">
            <v>987</v>
          </cell>
          <cell r="D110">
            <v>1</v>
          </cell>
          <cell r="E110">
            <v>1</v>
          </cell>
          <cell r="F110">
            <v>0.7795286987846014</v>
          </cell>
          <cell r="G110">
            <v>0.52427421510016081</v>
          </cell>
          <cell r="H110">
            <v>0.91898762162742142</v>
          </cell>
          <cell r="I110">
            <v>0.53181426009183019</v>
          </cell>
          <cell r="J110">
            <v>0.70578434985178606</v>
          </cell>
        </row>
        <row r="111">
          <cell r="A111" t="str">
            <v>NW</v>
          </cell>
          <cell r="B111" t="str">
            <v>F</v>
          </cell>
          <cell r="C111">
            <v>1050</v>
          </cell>
          <cell r="D111">
            <v>1</v>
          </cell>
          <cell r="E111">
            <v>1</v>
          </cell>
          <cell r="F111">
            <v>0.95753461213412683</v>
          </cell>
          <cell r="G111">
            <v>0.79295060769862269</v>
          </cell>
          <cell r="H111">
            <v>0.99252391238543303</v>
          </cell>
          <cell r="I111">
            <v>0.21059124245355262</v>
          </cell>
          <cell r="J111">
            <v>0.29459602895396569</v>
          </cell>
        </row>
        <row r="112">
          <cell r="A112" t="str">
            <v>NW</v>
          </cell>
          <cell r="B112" t="str">
            <v>F</v>
          </cell>
          <cell r="C112">
            <v>1080</v>
          </cell>
          <cell r="D112">
            <v>1</v>
          </cell>
          <cell r="E112">
            <v>1</v>
          </cell>
          <cell r="F112">
            <v>0.98197727486968189</v>
          </cell>
          <cell r="G112">
            <v>0.86444361134782044</v>
          </cell>
          <cell r="H112">
            <v>0.9978565033235357</v>
          </cell>
          <cell r="I112">
            <v>0.13547510956529701</v>
          </cell>
          <cell r="J112">
            <v>0.19072027986563111</v>
          </cell>
        </row>
        <row r="113">
          <cell r="A113" t="str">
            <v>NW</v>
          </cell>
          <cell r="B113" t="str">
            <v>F</v>
          </cell>
          <cell r="C113">
            <v>1087</v>
          </cell>
          <cell r="D113">
            <v>1</v>
          </cell>
          <cell r="E113">
            <v>1</v>
          </cell>
          <cell r="F113">
            <v>0.98528111844057642</v>
          </cell>
          <cell r="G113">
            <v>0.87738999195556466</v>
          </cell>
          <cell r="H113">
            <v>0.99840557881857661</v>
          </cell>
          <cell r="I113">
            <v>0.12222423429614028</v>
          </cell>
          <cell r="J113">
            <v>0.17221079580944718</v>
          </cell>
        </row>
        <row r="114">
          <cell r="A114" t="str">
            <v>NW</v>
          </cell>
          <cell r="B114" t="str">
            <v>F</v>
          </cell>
          <cell r="C114">
            <v>1100</v>
          </cell>
          <cell r="D114">
            <v>1</v>
          </cell>
          <cell r="E114">
            <v>1</v>
          </cell>
          <cell r="F114">
            <v>0.98991040233453831</v>
          </cell>
          <cell r="G114">
            <v>0.89836794146864063</v>
          </cell>
          <cell r="H114">
            <v>0.99908255334903051</v>
          </cell>
          <cell r="I114">
            <v>0.10095759127587449</v>
          </cell>
          <cell r="J114">
            <v>0.142413781927893</v>
          </cell>
        </row>
        <row r="115">
          <cell r="A115" t="str">
            <v>NW</v>
          </cell>
          <cell r="B115" t="str">
            <v>F</v>
          </cell>
          <cell r="C115">
            <v>1115</v>
          </cell>
          <cell r="D115">
            <v>1</v>
          </cell>
          <cell r="E115">
            <v>1</v>
          </cell>
          <cell r="F115">
            <v>0.99348583367052423</v>
          </cell>
          <cell r="G115">
            <v>0.91829099262086156</v>
          </cell>
          <cell r="H115">
            <v>0.99951705805218949</v>
          </cell>
          <cell r="I115">
            <v>8.0974557296871266E-2</v>
          </cell>
          <cell r="J115">
            <v>0.11432826514022554</v>
          </cell>
        </row>
        <row r="116">
          <cell r="A116" t="str">
            <v>NW</v>
          </cell>
          <cell r="B116" t="str">
            <v>F</v>
          </cell>
          <cell r="C116">
            <v>1122</v>
          </cell>
          <cell r="D116">
            <v>1</v>
          </cell>
          <cell r="E116">
            <v>1</v>
          </cell>
          <cell r="F116">
            <v>0.99469138597429874</v>
          </cell>
          <cell r="G116">
            <v>0.92623906355917585</v>
          </cell>
          <cell r="H116">
            <v>0.99964245809349839</v>
          </cell>
          <cell r="I116">
            <v>7.3054403091726214E-2</v>
          </cell>
          <cell r="J116">
            <v>0.10317707870027013</v>
          </cell>
        </row>
        <row r="117">
          <cell r="A117" t="str">
            <v>NW</v>
          </cell>
          <cell r="B117" t="str">
            <v>F</v>
          </cell>
          <cell r="C117">
            <v>1124</v>
          </cell>
          <cell r="D117">
            <v>1</v>
          </cell>
          <cell r="E117">
            <v>1</v>
          </cell>
          <cell r="F117">
            <v>0.9949931018519923</v>
          </cell>
          <cell r="G117">
            <v>0.92836823892905918</v>
          </cell>
          <cell r="H117">
            <v>0.99967192773542202</v>
          </cell>
          <cell r="I117">
            <v>7.0937249219053505E-2</v>
          </cell>
          <cell r="J117">
            <v>0.10019455733366306</v>
          </cell>
        </row>
        <row r="118">
          <cell r="A118" t="str">
            <v>NW</v>
          </cell>
          <cell r="B118" t="str">
            <v>F</v>
          </cell>
          <cell r="C118">
            <v>1132</v>
          </cell>
          <cell r="D118">
            <v>1</v>
          </cell>
          <cell r="E118">
            <v>1</v>
          </cell>
          <cell r="F118">
            <v>0.99603860241202946</v>
          </cell>
          <cell r="G118">
            <v>0.93630120122882354</v>
          </cell>
          <cell r="H118">
            <v>0.999767550883367</v>
          </cell>
          <cell r="I118">
            <v>6.3064670545149498E-2</v>
          </cell>
          <cell r="J118">
            <v>8.9098425427079991E-2</v>
          </cell>
        </row>
        <row r="119">
          <cell r="A119" t="str">
            <v>NW</v>
          </cell>
          <cell r="B119" t="str">
            <v>F</v>
          </cell>
          <cell r="C119">
            <v>1140</v>
          </cell>
          <cell r="D119">
            <v>1</v>
          </cell>
          <cell r="E119">
            <v>1</v>
          </cell>
          <cell r="F119">
            <v>0.99686647741047263</v>
          </cell>
          <cell r="G119">
            <v>0.94337271050926086</v>
          </cell>
          <cell r="H119">
            <v>0.99983541974583656</v>
          </cell>
          <cell r="I119">
            <v>5.6065786519111038E-2</v>
          </cell>
          <cell r="J119">
            <v>7.922679283654116E-2</v>
          </cell>
        </row>
        <row r="120">
          <cell r="A120" t="str">
            <v>NW</v>
          </cell>
          <cell r="B120" t="str">
            <v>F</v>
          </cell>
          <cell r="C120">
            <v>1240</v>
          </cell>
          <cell r="D120">
            <v>1</v>
          </cell>
          <cell r="E120">
            <v>1</v>
          </cell>
          <cell r="F120">
            <v>0.99983399604649903</v>
          </cell>
          <cell r="G120">
            <v>0.9871535182595611</v>
          </cell>
          <cell r="H120">
            <v>0.99999788173330784</v>
          </cell>
          <cell r="I120">
            <v>1.2885321702964393E-2</v>
          </cell>
          <cell r="J120">
            <v>1.8221840394557817E-2</v>
          </cell>
        </row>
        <row r="121">
          <cell r="A121" t="str">
            <v>NW</v>
          </cell>
          <cell r="B121" t="str">
            <v>F</v>
          </cell>
          <cell r="C121">
            <v>1241</v>
          </cell>
          <cell r="D121">
            <v>1</v>
          </cell>
          <cell r="E121">
            <v>1</v>
          </cell>
          <cell r="F121">
            <v>0.99983880615027965</v>
          </cell>
          <cell r="G121">
            <v>0.98734320989633295</v>
          </cell>
          <cell r="H121">
            <v>0.99999797240765598</v>
          </cell>
          <cell r="I121">
            <v>1.2697237391123387E-2</v>
          </cell>
          <cell r="J121">
            <v>1.7955881646150872E-2</v>
          </cell>
        </row>
        <row r="122">
          <cell r="A122" t="str">
            <v>TB</v>
          </cell>
          <cell r="B122" t="str">
            <v>F</v>
          </cell>
          <cell r="C122">
            <v>450</v>
          </cell>
          <cell r="D122">
            <v>0</v>
          </cell>
          <cell r="E122">
            <v>1</v>
          </cell>
          <cell r="F122">
            <v>1.5539197029207639E-19</v>
          </cell>
          <cell r="G122">
            <v>1.6073666927511081E-36</v>
          </cell>
          <cell r="H122">
            <v>1.4800163495415729E-2</v>
          </cell>
          <cell r="I122">
            <v>-3.9419788215067364E-10</v>
          </cell>
          <cell r="J122">
            <v>-4.6566128730773926E-10</v>
          </cell>
        </row>
        <row r="123">
          <cell r="A123" t="str">
            <v>TB</v>
          </cell>
          <cell r="B123" t="str">
            <v>F</v>
          </cell>
          <cell r="C123">
            <v>520</v>
          </cell>
          <cell r="D123">
            <v>0</v>
          </cell>
          <cell r="E123">
            <v>1</v>
          </cell>
          <cell r="F123">
            <v>5.2970146733788843E-16</v>
          </cell>
          <cell r="G123">
            <v>7.7359915826710297E-30</v>
          </cell>
          <cell r="H123">
            <v>3.5000438036047646E-2</v>
          </cell>
          <cell r="I123">
            <v>-2.3015244238067265E-8</v>
          </cell>
          <cell r="J123">
            <v>-3.2549690673688969E-8</v>
          </cell>
        </row>
        <row r="124">
          <cell r="A124" t="str">
            <v>TB</v>
          </cell>
          <cell r="B124" t="str">
            <v>F</v>
          </cell>
          <cell r="C124">
            <v>600</v>
          </cell>
          <cell r="D124">
            <v>0</v>
          </cell>
          <cell r="E124">
            <v>2</v>
          </cell>
          <cell r="F124">
            <v>5.7715344631280497E-12</v>
          </cell>
          <cell r="G124">
            <v>3.3338470723614668E-22</v>
          </cell>
          <cell r="H124">
            <v>9.0840020279305683E-2</v>
          </cell>
          <cell r="I124">
            <v>-2.4024018113465885E-6</v>
          </cell>
          <cell r="J124">
            <v>-3.3975092373612769E-6</v>
          </cell>
        </row>
        <row r="125">
          <cell r="A125" t="str">
            <v>TB</v>
          </cell>
          <cell r="B125" t="str">
            <v>F</v>
          </cell>
          <cell r="C125">
            <v>600</v>
          </cell>
          <cell r="D125">
            <v>0</v>
          </cell>
          <cell r="E125">
            <v>2</v>
          </cell>
          <cell r="F125">
            <v>5.7715344631280497E-12</v>
          </cell>
          <cell r="G125">
            <v>3.3338470723614668E-22</v>
          </cell>
          <cell r="H125">
            <v>9.0840020279305683E-2</v>
          </cell>
          <cell r="I125">
            <v>-2.4024018113465885E-6</v>
          </cell>
          <cell r="J125">
            <v>-3.3975092373612769E-6</v>
          </cell>
        </row>
        <row r="126">
          <cell r="A126" t="str">
            <v>TB</v>
          </cell>
          <cell r="B126" t="str">
            <v>F</v>
          </cell>
          <cell r="C126">
            <v>620</v>
          </cell>
          <cell r="D126">
            <v>0</v>
          </cell>
          <cell r="E126">
            <v>2</v>
          </cell>
          <cell r="F126">
            <v>5.8966631959868258E-11</v>
          </cell>
          <cell r="G126">
            <v>2.6962803341123206E-20</v>
          </cell>
          <cell r="H126">
            <v>0.11422729547751145</v>
          </cell>
          <cell r="I126">
            <v>-7.6789733664953811E-6</v>
          </cell>
          <cell r="J126">
            <v>-1.0859708276263025E-5</v>
          </cell>
        </row>
        <row r="127">
          <cell r="A127" t="str">
            <v>TB</v>
          </cell>
          <cell r="B127" t="str">
            <v>F</v>
          </cell>
          <cell r="C127">
            <v>620</v>
          </cell>
          <cell r="D127">
            <v>0</v>
          </cell>
          <cell r="E127">
            <v>2</v>
          </cell>
          <cell r="F127">
            <v>5.8966631959868258E-11</v>
          </cell>
          <cell r="G127">
            <v>2.6962803341123206E-20</v>
          </cell>
          <cell r="H127">
            <v>0.11422729547751145</v>
          </cell>
          <cell r="I127">
            <v>-7.6789733664953811E-6</v>
          </cell>
          <cell r="J127">
            <v>-1.0859708276263025E-5</v>
          </cell>
        </row>
        <row r="128">
          <cell r="A128" t="str">
            <v>TB</v>
          </cell>
          <cell r="B128" t="str">
            <v>F</v>
          </cell>
          <cell r="C128">
            <v>630</v>
          </cell>
          <cell r="D128">
            <v>0</v>
          </cell>
          <cell r="E128">
            <v>2</v>
          </cell>
          <cell r="F128">
            <v>1.8847937681969924E-10</v>
          </cell>
          <cell r="G128">
            <v>2.4237666038889335E-19</v>
          </cell>
          <cell r="H128">
            <v>0.12783134328018819</v>
          </cell>
          <cell r="I128">
            <v>-1.3728779146567387E-5</v>
          </cell>
          <cell r="J128">
            <v>-1.9415425662928255E-5</v>
          </cell>
        </row>
        <row r="129">
          <cell r="A129" t="str">
            <v>TB</v>
          </cell>
          <cell r="B129" t="str">
            <v>F</v>
          </cell>
          <cell r="C129">
            <v>640</v>
          </cell>
          <cell r="D129">
            <v>0</v>
          </cell>
          <cell r="E129">
            <v>2</v>
          </cell>
          <cell r="F129">
            <v>6.024504757269174E-10</v>
          </cell>
          <cell r="G129">
            <v>2.1780499518920139E-18</v>
          </cell>
          <cell r="H129">
            <v>0.1428363132876361</v>
          </cell>
          <cell r="I129">
            <v>-2.4544866593441989E-5</v>
          </cell>
          <cell r="J129">
            <v>-3.4711683218614625E-5</v>
          </cell>
        </row>
        <row r="130">
          <cell r="A130" t="str">
            <v>TB</v>
          </cell>
          <cell r="B130" t="str">
            <v>F</v>
          </cell>
          <cell r="C130">
            <v>650</v>
          </cell>
          <cell r="D130">
            <v>0</v>
          </cell>
          <cell r="E130">
            <v>1</v>
          </cell>
          <cell r="F130">
            <v>1.9256567031245217E-9</v>
          </cell>
          <cell r="G130">
            <v>1.9564605838940791E-17</v>
          </cell>
          <cell r="H130">
            <v>0.15933451028825729</v>
          </cell>
          <cell r="I130">
            <v>-4.388230516771736E-5</v>
          </cell>
          <cell r="J130">
            <v>-6.2058951085836817E-5</v>
          </cell>
        </row>
        <row r="131">
          <cell r="A131" t="str">
            <v>TB</v>
          </cell>
          <cell r="B131" t="str">
            <v>F</v>
          </cell>
          <cell r="C131">
            <v>650</v>
          </cell>
          <cell r="D131">
            <v>0</v>
          </cell>
          <cell r="E131">
            <v>1</v>
          </cell>
          <cell r="F131">
            <v>1.9256567031245217E-9</v>
          </cell>
          <cell r="G131">
            <v>1.9564605838940791E-17</v>
          </cell>
          <cell r="H131">
            <v>0.15933451028825729</v>
          </cell>
          <cell r="I131">
            <v>-4.388230516771736E-5</v>
          </cell>
          <cell r="J131">
            <v>-6.2058951085836817E-5</v>
          </cell>
        </row>
        <row r="132">
          <cell r="A132" t="str">
            <v>TB</v>
          </cell>
          <cell r="B132" t="str">
            <v>F</v>
          </cell>
          <cell r="C132">
            <v>660</v>
          </cell>
          <cell r="D132">
            <v>0</v>
          </cell>
          <cell r="E132">
            <v>2</v>
          </cell>
          <cell r="F132">
            <v>6.1551179340298488E-9</v>
          </cell>
          <cell r="G132">
            <v>1.7565867022789254E-16</v>
          </cell>
          <cell r="H132">
            <v>0.17741285676039178</v>
          </cell>
          <cell r="I132">
            <v>-7.8454559917925302E-5</v>
          </cell>
          <cell r="J132">
            <v>-1.1095150249549983E-4</v>
          </cell>
        </row>
        <row r="133">
          <cell r="A133" t="str">
            <v>TB</v>
          </cell>
          <cell r="B133" t="str">
            <v>F</v>
          </cell>
          <cell r="C133">
            <v>660</v>
          </cell>
          <cell r="D133">
            <v>0</v>
          </cell>
          <cell r="E133">
            <v>3</v>
          </cell>
          <cell r="F133">
            <v>6.1551179340298488E-9</v>
          </cell>
          <cell r="G133">
            <v>1.7565867022789254E-16</v>
          </cell>
          <cell r="H133">
            <v>0.17741285676039178</v>
          </cell>
          <cell r="I133">
            <v>-7.8454559917925302E-5</v>
          </cell>
          <cell r="J133">
            <v>-1.1095150249549983E-4</v>
          </cell>
        </row>
        <row r="134">
          <cell r="A134" t="str">
            <v>TB</v>
          </cell>
          <cell r="B134" t="str">
            <v>F</v>
          </cell>
          <cell r="C134">
            <v>660</v>
          </cell>
          <cell r="D134">
            <v>0</v>
          </cell>
          <cell r="E134">
            <v>4</v>
          </cell>
          <cell r="F134">
            <v>6.1551179340298488E-9</v>
          </cell>
          <cell r="G134">
            <v>1.7565867022789254E-16</v>
          </cell>
          <cell r="H134">
            <v>0.17741285676039178</v>
          </cell>
          <cell r="I134">
            <v>-7.8454559917925302E-5</v>
          </cell>
          <cell r="J134">
            <v>-1.1095150249549983E-4</v>
          </cell>
        </row>
        <row r="135">
          <cell r="A135" t="str">
            <v>TB</v>
          </cell>
          <cell r="B135" t="str">
            <v>F</v>
          </cell>
          <cell r="C135">
            <v>670</v>
          </cell>
          <cell r="D135">
            <v>0</v>
          </cell>
          <cell r="E135">
            <v>2</v>
          </cell>
          <cell r="F135">
            <v>1.9674055281197133E-8</v>
          </cell>
          <cell r="G135">
            <v>1.5762477097394145E-15</v>
          </cell>
          <cell r="H135">
            <v>0.19715034752661878</v>
          </cell>
          <cell r="I135">
            <v>-1.4026423517157028E-4</v>
          </cell>
          <cell r="J135">
            <v>-1.9836358271975796E-4</v>
          </cell>
        </row>
        <row r="136">
          <cell r="A136" t="str">
            <v>TB</v>
          </cell>
          <cell r="B136" t="str">
            <v>F</v>
          </cell>
          <cell r="C136">
            <v>670</v>
          </cell>
          <cell r="D136">
            <v>0</v>
          </cell>
          <cell r="E136">
            <v>4</v>
          </cell>
          <cell r="F136">
            <v>1.9674055281197133E-8</v>
          </cell>
          <cell r="G136">
            <v>1.5762477097394145E-15</v>
          </cell>
          <cell r="H136">
            <v>0.19715034752661878</v>
          </cell>
          <cell r="I136">
            <v>-1.4026423517157028E-4</v>
          </cell>
          <cell r="J136">
            <v>-1.9836358271975796E-4</v>
          </cell>
        </row>
        <row r="137">
          <cell r="A137" t="str">
            <v>TB</v>
          </cell>
          <cell r="B137" t="str">
            <v>F</v>
          </cell>
          <cell r="C137">
            <v>680</v>
          </cell>
          <cell r="D137">
            <v>0</v>
          </cell>
          <cell r="E137">
            <v>3</v>
          </cell>
          <cell r="F137">
            <v>6.2885625241156038E-8</v>
          </cell>
          <cell r="G137">
            <v>1.4134695454034144E-14</v>
          </cell>
          <cell r="H137">
            <v>0.21861558144181492</v>
          </cell>
          <cell r="I137">
            <v>-2.5077007236861028E-4</v>
          </cell>
          <cell r="J137">
            <v>-3.5464243180544032E-4</v>
          </cell>
        </row>
        <row r="138">
          <cell r="A138" t="str">
            <v>TB</v>
          </cell>
          <cell r="B138" t="str">
            <v>F</v>
          </cell>
          <cell r="C138">
            <v>690</v>
          </cell>
          <cell r="D138">
            <v>0</v>
          </cell>
          <cell r="E138">
            <v>3</v>
          </cell>
          <cell r="F138">
            <v>2.0100591515691934E-7</v>
          </cell>
          <cell r="G138">
            <v>1.2664617163701842E-13</v>
          </cell>
          <cell r="H138">
            <v>0.24186470629448353</v>
          </cell>
          <cell r="I138">
            <v>-4.4833687731471011E-4</v>
          </cell>
          <cell r="J138">
            <v>-6.3404406054877601E-4</v>
          </cell>
        </row>
        <row r="139">
          <cell r="A139" t="str">
            <v>TB</v>
          </cell>
          <cell r="B139" t="str">
            <v>F</v>
          </cell>
          <cell r="C139">
            <v>690</v>
          </cell>
          <cell r="D139">
            <v>0</v>
          </cell>
          <cell r="E139">
            <v>4</v>
          </cell>
          <cell r="F139">
            <v>2.0100591515691934E-7</v>
          </cell>
          <cell r="G139">
            <v>1.2664617163701842E-13</v>
          </cell>
          <cell r="H139">
            <v>0.24186470629448353</v>
          </cell>
          <cell r="I139">
            <v>-4.4833687731471011E-4</v>
          </cell>
          <cell r="J139">
            <v>-6.3404406054877601E-4</v>
          </cell>
        </row>
        <row r="140">
          <cell r="A140" t="str">
            <v>TB</v>
          </cell>
          <cell r="B140" t="str">
            <v>F</v>
          </cell>
          <cell r="C140">
            <v>690</v>
          </cell>
          <cell r="D140">
            <v>0</v>
          </cell>
          <cell r="E140">
            <v>1</v>
          </cell>
          <cell r="F140">
            <v>2.0100591515691934E-7</v>
          </cell>
          <cell r="G140">
            <v>1.2664617163701842E-13</v>
          </cell>
          <cell r="H140">
            <v>0.24186470629448353</v>
          </cell>
          <cell r="I140">
            <v>-4.4833687731471011E-4</v>
          </cell>
          <cell r="J140">
            <v>-6.3404406054877601E-4</v>
          </cell>
        </row>
        <row r="141">
          <cell r="A141" t="str">
            <v>TB</v>
          </cell>
          <cell r="B141" t="str">
            <v>F</v>
          </cell>
          <cell r="C141">
            <v>700</v>
          </cell>
          <cell r="D141">
            <v>0</v>
          </cell>
          <cell r="E141">
            <v>4</v>
          </cell>
          <cell r="F141">
            <v>6.4248968689134013E-7</v>
          </cell>
          <cell r="G141">
            <v>1.1335955047019634E-12</v>
          </cell>
          <cell r="H141">
            <v>0.26694028437312251</v>
          </cell>
          <cell r="I141">
            <v>-8.0155480142321133E-4</v>
          </cell>
          <cell r="J141">
            <v>-1.1335694890812181E-3</v>
          </cell>
        </row>
        <row r="142">
          <cell r="A142" t="str">
            <v>TB</v>
          </cell>
          <cell r="B142" t="str">
            <v>F</v>
          </cell>
          <cell r="C142">
            <v>710</v>
          </cell>
          <cell r="D142">
            <v>0</v>
          </cell>
          <cell r="E142">
            <v>2</v>
          </cell>
          <cell r="F142">
            <v>2.0536340792252212E-6</v>
          </cell>
          <cell r="G142">
            <v>1.0133826709518099E-11</v>
          </cell>
          <cell r="H142">
            <v>0.29387183744988854</v>
          </cell>
          <cell r="I142">
            <v>-1.4330520913933354E-3</v>
          </cell>
          <cell r="J142">
            <v>-2.0266406627394715E-3</v>
          </cell>
        </row>
        <row r="143">
          <cell r="A143" t="str">
            <v>TB</v>
          </cell>
          <cell r="B143" t="str">
            <v>F</v>
          </cell>
          <cell r="C143">
            <v>710</v>
          </cell>
          <cell r="D143">
            <v>0</v>
          </cell>
          <cell r="E143">
            <v>3</v>
          </cell>
          <cell r="F143">
            <v>2.0536340792252212E-6</v>
          </cell>
          <cell r="G143">
            <v>1.0133826709518099E-11</v>
          </cell>
          <cell r="H143">
            <v>0.29387183744988854</v>
          </cell>
          <cell r="I143">
            <v>-1.4330520913933354E-3</v>
          </cell>
          <cell r="J143">
            <v>-2.0266406627394715E-3</v>
          </cell>
        </row>
        <row r="144">
          <cell r="A144" t="str">
            <v>TB</v>
          </cell>
          <cell r="B144" t="str">
            <v>F</v>
          </cell>
          <cell r="C144">
            <v>710</v>
          </cell>
          <cell r="D144">
            <v>0</v>
          </cell>
          <cell r="E144">
            <v>5</v>
          </cell>
          <cell r="F144">
            <v>2.0536340792252212E-6</v>
          </cell>
          <cell r="G144">
            <v>1.0133826709518099E-11</v>
          </cell>
          <cell r="H144">
            <v>0.29387183744988854</v>
          </cell>
          <cell r="I144">
            <v>-1.4330520913933354E-3</v>
          </cell>
          <cell r="J144">
            <v>-2.0266406627394715E-3</v>
          </cell>
        </row>
        <row r="145">
          <cell r="A145" t="str">
            <v>TB</v>
          </cell>
          <cell r="B145" t="str">
            <v>F</v>
          </cell>
          <cell r="C145">
            <v>720</v>
          </cell>
          <cell r="D145">
            <v>0</v>
          </cell>
          <cell r="E145">
            <v>3</v>
          </cell>
          <cell r="F145">
            <v>6.5641518393391368E-6</v>
          </cell>
          <cell r="G145">
            <v>9.0445368067476467E-11</v>
          </cell>
          <cell r="H145">
            <v>0.32267922467047955</v>
          </cell>
          <cell r="I145">
            <v>-2.5620684861477334E-3</v>
          </cell>
          <cell r="J145">
            <v>-3.6233060548284146E-3</v>
          </cell>
        </row>
        <row r="146">
          <cell r="A146" t="str">
            <v>TB</v>
          </cell>
          <cell r="B146" t="str">
            <v>F</v>
          </cell>
          <cell r="C146">
            <v>730</v>
          </cell>
          <cell r="D146">
            <v>0</v>
          </cell>
          <cell r="E146">
            <v>4</v>
          </cell>
          <cell r="F146">
            <v>2.0981178169786007E-5</v>
          </cell>
          <cell r="G146">
            <v>8.0553393307912466E-10</v>
          </cell>
          <cell r="H146">
            <v>0.35338068106968223</v>
          </cell>
          <cell r="I146">
            <v>-4.5805696576801131E-3</v>
          </cell>
          <cell r="J146">
            <v>-6.4778697544460549E-3</v>
          </cell>
        </row>
        <row r="147">
          <cell r="A147" t="str">
            <v>TB</v>
          </cell>
          <cell r="B147" t="str">
            <v>F</v>
          </cell>
          <cell r="C147">
            <v>750</v>
          </cell>
          <cell r="D147">
            <v>0</v>
          </cell>
          <cell r="E147">
            <v>2</v>
          </cell>
          <cell r="F147">
            <v>2.1431912405829077E-4</v>
          </cell>
          <cell r="G147">
            <v>6.3291930108749137E-8</v>
          </cell>
          <cell r="H147">
            <v>0.42063865200387346</v>
          </cell>
          <cell r="I147">
            <v>-1.4641211240590419E-2</v>
          </cell>
          <cell r="J147">
            <v>-2.0704689984817663E-2</v>
          </cell>
        </row>
        <row r="148">
          <cell r="A148" t="str">
            <v>TB</v>
          </cell>
          <cell r="B148" t="str">
            <v>F</v>
          </cell>
          <cell r="C148">
            <v>750</v>
          </cell>
          <cell r="D148">
            <v>0</v>
          </cell>
          <cell r="E148">
            <v>3</v>
          </cell>
          <cell r="F148">
            <v>2.1431912405829077E-4</v>
          </cell>
          <cell r="G148">
            <v>6.3291930108749137E-8</v>
          </cell>
          <cell r="H148">
            <v>0.42063865200387346</v>
          </cell>
          <cell r="I148">
            <v>-1.4641211240590419E-2</v>
          </cell>
          <cell r="J148">
            <v>-2.0704689984817663E-2</v>
          </cell>
        </row>
        <row r="149">
          <cell r="A149" t="str">
            <v>TB</v>
          </cell>
          <cell r="B149" t="str">
            <v>F</v>
          </cell>
          <cell r="C149">
            <v>760</v>
          </cell>
          <cell r="D149">
            <v>0</v>
          </cell>
          <cell r="E149">
            <v>3</v>
          </cell>
          <cell r="F149">
            <v>6.8472164252808966E-4</v>
          </cell>
          <cell r="G149">
            <v>5.5684031787638363E-7</v>
          </cell>
          <cell r="H149">
            <v>0.4574433006006921</v>
          </cell>
          <cell r="I149">
            <v>-2.6176149592773354E-2</v>
          </cell>
          <cell r="J149">
            <v>-3.7012326904859567E-2</v>
          </cell>
        </row>
        <row r="150">
          <cell r="A150" t="str">
            <v>TB</v>
          </cell>
          <cell r="B150" t="str">
            <v>F</v>
          </cell>
          <cell r="C150">
            <v>760</v>
          </cell>
          <cell r="D150">
            <v>0</v>
          </cell>
          <cell r="E150">
            <v>1</v>
          </cell>
          <cell r="F150">
            <v>6.8472164252808966E-4</v>
          </cell>
          <cell r="G150">
            <v>5.5684031787638363E-7</v>
          </cell>
          <cell r="H150">
            <v>0.4574433006006921</v>
          </cell>
          <cell r="I150">
            <v>-2.6176149592773354E-2</v>
          </cell>
          <cell r="J150">
            <v>-3.7012326904859567E-2</v>
          </cell>
        </row>
        <row r="151">
          <cell r="A151" t="str">
            <v>TB</v>
          </cell>
          <cell r="B151" t="str">
            <v>F</v>
          </cell>
          <cell r="C151">
            <v>760</v>
          </cell>
          <cell r="D151">
            <v>0</v>
          </cell>
          <cell r="E151">
            <v>1</v>
          </cell>
          <cell r="F151">
            <v>6.8472164252808966E-4</v>
          </cell>
          <cell r="G151">
            <v>5.5684031787638363E-7</v>
          </cell>
          <cell r="H151">
            <v>0.4574433006006921</v>
          </cell>
          <cell r="I151">
            <v>-2.6176149592773354E-2</v>
          </cell>
          <cell r="J151">
            <v>-3.7012326904859567E-2</v>
          </cell>
        </row>
        <row r="152">
          <cell r="A152" t="str">
            <v>TB</v>
          </cell>
          <cell r="B152" t="str">
            <v>F</v>
          </cell>
          <cell r="C152">
            <v>770</v>
          </cell>
          <cell r="D152">
            <v>0</v>
          </cell>
          <cell r="E152">
            <v>4</v>
          </cell>
          <cell r="F152">
            <v>2.1853395371276472E-3</v>
          </cell>
          <cell r="G152">
            <v>4.8585524194400385E-6</v>
          </cell>
          <cell r="H152">
            <v>0.49679316592449119</v>
          </cell>
          <cell r="I152">
            <v>-4.6798778888161037E-2</v>
          </cell>
          <cell r="J152">
            <v>-6.6147273203575607E-2</v>
          </cell>
        </row>
        <row r="153">
          <cell r="A153" t="str">
            <v>TB</v>
          </cell>
          <cell r="B153" t="str">
            <v>F</v>
          </cell>
          <cell r="C153">
            <v>770</v>
          </cell>
          <cell r="D153">
            <v>0</v>
          </cell>
          <cell r="E153">
            <v>5</v>
          </cell>
          <cell r="F153">
            <v>2.1853395371276472E-3</v>
          </cell>
          <cell r="G153">
            <v>4.8585524194400385E-6</v>
          </cell>
          <cell r="H153">
            <v>0.49679316592449119</v>
          </cell>
          <cell r="I153">
            <v>-4.6798778888161037E-2</v>
          </cell>
          <cell r="J153">
            <v>-6.6147273203575607E-2</v>
          </cell>
        </row>
        <row r="154">
          <cell r="A154" t="str">
            <v>TB</v>
          </cell>
          <cell r="B154" t="str">
            <v>F</v>
          </cell>
          <cell r="C154">
            <v>770</v>
          </cell>
          <cell r="D154">
            <v>0</v>
          </cell>
          <cell r="E154">
            <v>1</v>
          </cell>
          <cell r="F154">
            <v>2.1853395371276472E-3</v>
          </cell>
          <cell r="G154">
            <v>4.8585524194400385E-6</v>
          </cell>
          <cell r="H154">
            <v>0.49679316592449119</v>
          </cell>
          <cell r="I154">
            <v>-4.6798778888161037E-2</v>
          </cell>
          <cell r="J154">
            <v>-6.6147273203575607E-2</v>
          </cell>
        </row>
        <row r="155">
          <cell r="A155" t="str">
            <v>TB</v>
          </cell>
          <cell r="B155" t="str">
            <v>F</v>
          </cell>
          <cell r="C155">
            <v>780</v>
          </cell>
          <cell r="D155">
            <v>0</v>
          </cell>
          <cell r="E155">
            <v>3</v>
          </cell>
          <cell r="F155">
            <v>6.951793904633778E-3</v>
          </cell>
          <cell r="G155">
            <v>4.1835268576700893E-5</v>
          </cell>
          <cell r="H155">
            <v>0.53946028161426518</v>
          </cell>
          <cell r="I155">
            <v>-8.366874958674711E-2</v>
          </cell>
          <cell r="J155">
            <v>-0.11811917878562851</v>
          </cell>
        </row>
        <row r="156">
          <cell r="A156" t="str">
            <v>TB</v>
          </cell>
          <cell r="B156" t="str">
            <v>F</v>
          </cell>
          <cell r="C156">
            <v>790</v>
          </cell>
          <cell r="D156">
            <v>0</v>
          </cell>
          <cell r="E156">
            <v>3</v>
          </cell>
          <cell r="F156">
            <v>2.1886352538658643E-2</v>
          </cell>
          <cell r="G156">
            <v>3.520689167983108E-4</v>
          </cell>
          <cell r="H156">
            <v>0.58705553124624421</v>
          </cell>
          <cell r="I156">
            <v>-0.14958637433979599</v>
          </cell>
          <cell r="J156">
            <v>-0.21037781133129846</v>
          </cell>
        </row>
        <row r="157">
          <cell r="A157" t="str">
            <v>TB</v>
          </cell>
          <cell r="B157" t="str">
            <v>F</v>
          </cell>
          <cell r="C157">
            <v>790</v>
          </cell>
          <cell r="D157">
            <v>0</v>
          </cell>
          <cell r="E157">
            <v>4</v>
          </cell>
          <cell r="F157">
            <v>2.1886352538658643E-2</v>
          </cell>
          <cell r="G157">
            <v>3.520689167983108E-4</v>
          </cell>
          <cell r="H157">
            <v>0.58705553124624421</v>
          </cell>
          <cell r="I157">
            <v>-0.14958637433979599</v>
          </cell>
          <cell r="J157">
            <v>-0.21037781133129846</v>
          </cell>
        </row>
        <row r="158">
          <cell r="A158" t="str">
            <v>TB</v>
          </cell>
          <cell r="B158" t="str">
            <v>F</v>
          </cell>
          <cell r="C158">
            <v>790</v>
          </cell>
          <cell r="D158">
            <v>0</v>
          </cell>
          <cell r="E158">
            <v>5</v>
          </cell>
          <cell r="F158">
            <v>2.1886352538658643E-2</v>
          </cell>
          <cell r="G158">
            <v>3.520689167983108E-4</v>
          </cell>
          <cell r="H158">
            <v>0.58705553124624421</v>
          </cell>
          <cell r="I158">
            <v>-0.14958637433979599</v>
          </cell>
          <cell r="J158">
            <v>-0.21037781133129846</v>
          </cell>
        </row>
        <row r="159">
          <cell r="A159" t="str">
            <v>TB</v>
          </cell>
          <cell r="B159" t="str">
            <v>F</v>
          </cell>
          <cell r="C159">
            <v>800</v>
          </cell>
          <cell r="D159">
            <v>0</v>
          </cell>
          <cell r="E159">
            <v>4</v>
          </cell>
          <cell r="F159">
            <v>6.6748323952065564E-2</v>
          </cell>
          <cell r="G159">
            <v>2.8317553566115624E-3</v>
          </cell>
          <cell r="H159">
            <v>0.64302807939631434</v>
          </cell>
          <cell r="I159">
            <v>-0.26743656979032804</v>
          </cell>
          <cell r="J159">
            <v>-0.37169978548033072</v>
          </cell>
        </row>
        <row r="160">
          <cell r="A160" t="str">
            <v>TB</v>
          </cell>
          <cell r="B160" t="str">
            <v>F</v>
          </cell>
          <cell r="C160">
            <v>820</v>
          </cell>
          <cell r="D160">
            <v>0</v>
          </cell>
          <cell r="E160">
            <v>4</v>
          </cell>
          <cell r="F160">
            <v>0.42220894488085281</v>
          </cell>
          <cell r="G160">
            <v>0.10855986783609342</v>
          </cell>
          <cell r="H160">
            <v>0.81428731751065186</v>
          </cell>
          <cell r="I160">
            <v>-0.85482715128978004</v>
          </cell>
          <cell r="J160">
            <v>-1.0474187051976547</v>
          </cell>
        </row>
        <row r="161">
          <cell r="A161" t="str">
            <v>TB</v>
          </cell>
          <cell r="B161" t="str">
            <v>F</v>
          </cell>
          <cell r="C161">
            <v>820</v>
          </cell>
          <cell r="D161">
            <v>1</v>
          </cell>
          <cell r="E161">
            <v>6</v>
          </cell>
          <cell r="F161">
            <v>0.42220894488085281</v>
          </cell>
          <cell r="G161">
            <v>0.10855986783609342</v>
          </cell>
          <cell r="H161">
            <v>0.81428731751065186</v>
          </cell>
          <cell r="I161">
            <v>1.1698271381426997</v>
          </cell>
          <cell r="J161">
            <v>1.3132059681810375</v>
          </cell>
        </row>
        <row r="162">
          <cell r="A162" t="str">
            <v>TB</v>
          </cell>
          <cell r="B162" t="str">
            <v>F</v>
          </cell>
          <cell r="C162">
            <v>830</v>
          </cell>
          <cell r="D162">
            <v>1</v>
          </cell>
          <cell r="E162">
            <v>4</v>
          </cell>
          <cell r="F162">
            <v>0.70021143254456408</v>
          </cell>
          <cell r="G162">
            <v>0.30224112410703674</v>
          </cell>
          <cell r="H162">
            <v>0.92644070573433612</v>
          </cell>
          <cell r="I162">
            <v>0.65432412753521163</v>
          </cell>
          <cell r="J162">
            <v>0.84424278860213708</v>
          </cell>
        </row>
        <row r="163">
          <cell r="A163" t="str">
            <v>TB</v>
          </cell>
          <cell r="B163" t="str">
            <v>F</v>
          </cell>
          <cell r="C163">
            <v>830</v>
          </cell>
          <cell r="D163">
            <v>1</v>
          </cell>
          <cell r="E163">
            <v>5</v>
          </cell>
          <cell r="F163">
            <v>0.70021143254456408</v>
          </cell>
          <cell r="G163">
            <v>0.30224112410703674</v>
          </cell>
          <cell r="H163">
            <v>0.92644070573433612</v>
          </cell>
          <cell r="I163">
            <v>0.65432412753521163</v>
          </cell>
          <cell r="J163">
            <v>0.84424278860213708</v>
          </cell>
        </row>
        <row r="164">
          <cell r="A164" t="str">
            <v>TB</v>
          </cell>
          <cell r="B164" t="str">
            <v>F</v>
          </cell>
          <cell r="C164">
            <v>840</v>
          </cell>
          <cell r="D164">
            <v>1</v>
          </cell>
          <cell r="E164">
            <v>3</v>
          </cell>
          <cell r="F164">
            <v>0.88187654364856971</v>
          </cell>
          <cell r="G164">
            <v>0.46532815481538659</v>
          </cell>
          <cell r="H164">
            <v>0.98462554173106664</v>
          </cell>
          <cell r="I164">
            <v>0.36598575115504789</v>
          </cell>
          <cell r="J164">
            <v>0.50140443946991387</v>
          </cell>
        </row>
        <row r="165">
          <cell r="A165" t="str">
            <v>TB</v>
          </cell>
          <cell r="B165" t="str">
            <v>F</v>
          </cell>
          <cell r="C165">
            <v>840</v>
          </cell>
          <cell r="D165">
            <v>0</v>
          </cell>
          <cell r="E165">
            <v>4</v>
          </cell>
          <cell r="F165">
            <v>0.88187654364856971</v>
          </cell>
          <cell r="G165">
            <v>0.46532815481538659</v>
          </cell>
          <cell r="H165">
            <v>0.98462554173106664</v>
          </cell>
          <cell r="I165">
            <v>-2.7323468108908848</v>
          </cell>
          <cell r="J165">
            <v>-2.0668937859396723</v>
          </cell>
        </row>
        <row r="166">
          <cell r="A166" t="str">
            <v>TB</v>
          </cell>
          <cell r="B166" t="str">
            <v>F</v>
          </cell>
          <cell r="C166">
            <v>850</v>
          </cell>
          <cell r="D166">
            <v>1</v>
          </cell>
          <cell r="E166">
            <v>4</v>
          </cell>
          <cell r="F166">
            <v>0.95977995824597706</v>
          </cell>
          <cell r="G166">
            <v>0.56171486976574747</v>
          </cell>
          <cell r="H166">
            <v>0.99775444067064101</v>
          </cell>
          <cell r="I166">
            <v>0.20470828510189162</v>
          </cell>
          <cell r="J166">
            <v>0.28653527166252751</v>
          </cell>
        </row>
        <row r="167">
          <cell r="A167" t="str">
            <v>TB</v>
          </cell>
          <cell r="B167" t="str">
            <v>F</v>
          </cell>
          <cell r="C167">
            <v>850</v>
          </cell>
          <cell r="D167">
            <v>1</v>
          </cell>
          <cell r="E167">
            <v>4</v>
          </cell>
          <cell r="F167">
            <v>0.95977995824597706</v>
          </cell>
          <cell r="G167">
            <v>0.56171486976574747</v>
          </cell>
          <cell r="H167">
            <v>0.99775444067064101</v>
          </cell>
          <cell r="I167">
            <v>0.20470828510189162</v>
          </cell>
          <cell r="J167">
            <v>0.28653527166252751</v>
          </cell>
        </row>
        <row r="168">
          <cell r="A168" t="str">
            <v>TB</v>
          </cell>
          <cell r="B168" t="str">
            <v>F</v>
          </cell>
          <cell r="C168">
            <v>850</v>
          </cell>
          <cell r="D168">
            <v>1</v>
          </cell>
          <cell r="E168">
            <v>5</v>
          </cell>
          <cell r="F168">
            <v>0.95977995824597706</v>
          </cell>
          <cell r="G168">
            <v>0.56171486976574747</v>
          </cell>
          <cell r="H168">
            <v>0.99775444067064101</v>
          </cell>
          <cell r="I168">
            <v>0.20470828510189162</v>
          </cell>
          <cell r="J168">
            <v>0.28653527166252751</v>
          </cell>
        </row>
        <row r="169">
          <cell r="A169" t="str">
            <v>TB</v>
          </cell>
          <cell r="B169" t="str">
            <v>F</v>
          </cell>
          <cell r="C169">
            <v>860</v>
          </cell>
          <cell r="D169">
            <v>1</v>
          </cell>
          <cell r="E169">
            <v>5</v>
          </cell>
          <cell r="F169">
            <v>0.98705933526206346</v>
          </cell>
          <cell r="G169">
            <v>0.62453496768568728</v>
          </cell>
          <cell r="H169">
            <v>0.99971418187428407</v>
          </cell>
          <cell r="I169">
            <v>0.11450031007246594</v>
          </cell>
          <cell r="J169">
            <v>0.16140089575582003</v>
          </cell>
        </row>
        <row r="170">
          <cell r="A170" t="str">
            <v>TB</v>
          </cell>
          <cell r="B170" t="str">
            <v>F</v>
          </cell>
          <cell r="C170">
            <v>860</v>
          </cell>
          <cell r="D170">
            <v>1</v>
          </cell>
          <cell r="E170">
            <v>1</v>
          </cell>
          <cell r="F170">
            <v>0.98705933526206346</v>
          </cell>
          <cell r="G170">
            <v>0.62453496768568728</v>
          </cell>
          <cell r="H170">
            <v>0.99971418187428407</v>
          </cell>
          <cell r="I170">
            <v>0.11450031007246594</v>
          </cell>
          <cell r="J170">
            <v>0.16140089575582003</v>
          </cell>
        </row>
        <row r="171">
          <cell r="A171" t="str">
            <v>TB</v>
          </cell>
          <cell r="B171" t="str">
            <v>F</v>
          </cell>
          <cell r="C171">
            <v>870</v>
          </cell>
          <cell r="D171">
            <v>1</v>
          </cell>
          <cell r="E171">
            <v>5</v>
          </cell>
          <cell r="F171">
            <v>0.99591513092407047</v>
          </cell>
          <cell r="G171">
            <v>0.67131456987192173</v>
          </cell>
          <cell r="H171">
            <v>0.99996564085729012</v>
          </cell>
          <cell r="I171">
            <v>6.4043919864628082E-2</v>
          </cell>
          <cell r="J171">
            <v>9.0479112989703611E-2</v>
          </cell>
        </row>
        <row r="172">
          <cell r="A172" t="str">
            <v>TB</v>
          </cell>
          <cell r="B172" t="str">
            <v>F</v>
          </cell>
          <cell r="C172">
            <v>870</v>
          </cell>
          <cell r="D172">
            <v>1</v>
          </cell>
          <cell r="E172">
            <v>5</v>
          </cell>
          <cell r="F172">
            <v>0.99591513092407047</v>
          </cell>
          <cell r="G172">
            <v>0.67131456987192173</v>
          </cell>
          <cell r="H172">
            <v>0.99996564085729012</v>
          </cell>
          <cell r="I172">
            <v>6.4043919864628082E-2</v>
          </cell>
          <cell r="J172">
            <v>9.0479112989703611E-2</v>
          </cell>
        </row>
        <row r="173">
          <cell r="A173" t="str">
            <v>TB</v>
          </cell>
          <cell r="B173" t="str">
            <v>F</v>
          </cell>
          <cell r="C173">
            <v>880</v>
          </cell>
          <cell r="D173">
            <v>1</v>
          </cell>
          <cell r="E173">
            <v>6</v>
          </cell>
          <cell r="F173">
            <v>0.9987184328648222</v>
          </cell>
          <cell r="G173">
            <v>0.70920518247208919</v>
          </cell>
          <cell r="H173">
            <v>0.99999598412592272</v>
          </cell>
          <cell r="I173">
            <v>3.5821943792387456E-2</v>
          </cell>
          <cell r="J173">
            <v>5.0643638191489808E-2</v>
          </cell>
        </row>
        <row r="174">
          <cell r="A174" t="str">
            <v>TB</v>
          </cell>
          <cell r="B174" t="str">
            <v>F</v>
          </cell>
          <cell r="C174">
            <v>890</v>
          </cell>
          <cell r="D174">
            <v>1</v>
          </cell>
          <cell r="E174">
            <v>5</v>
          </cell>
          <cell r="F174">
            <v>0.99959870248974114</v>
          </cell>
          <cell r="G174">
            <v>0.74138547997041926</v>
          </cell>
          <cell r="H174">
            <v>0.9999995379674913</v>
          </cell>
          <cell r="I174">
            <v>2.0036432182436656E-2</v>
          </cell>
          <cell r="J174">
            <v>2.8332950840066366E-2</v>
          </cell>
        </row>
        <row r="175">
          <cell r="A175" t="str">
            <v>TB</v>
          </cell>
          <cell r="B175" t="str">
            <v>F</v>
          </cell>
          <cell r="C175">
            <v>890</v>
          </cell>
          <cell r="D175">
            <v>1</v>
          </cell>
          <cell r="E175">
            <v>6</v>
          </cell>
          <cell r="F175">
            <v>0.99959870248974114</v>
          </cell>
          <cell r="G175">
            <v>0.74138547997041926</v>
          </cell>
          <cell r="H175">
            <v>0.9999995379674913</v>
          </cell>
          <cell r="I175">
            <v>2.0036432182436656E-2</v>
          </cell>
          <cell r="J175">
            <v>2.8332950840066366E-2</v>
          </cell>
        </row>
        <row r="176">
          <cell r="A176" t="str">
            <v>TB</v>
          </cell>
          <cell r="B176" t="str">
            <v>F</v>
          </cell>
          <cell r="C176">
            <v>900</v>
          </cell>
          <cell r="D176">
            <v>1</v>
          </cell>
          <cell r="E176">
            <v>7</v>
          </cell>
          <cell r="F176">
            <v>0.99987441761586193</v>
          </cell>
          <cell r="G176">
            <v>0.76944350320557187</v>
          </cell>
          <cell r="H176">
            <v>0.99999994735393893</v>
          </cell>
          <cell r="I176">
            <v>1.1207058358645815E-2</v>
          </cell>
          <cell r="J176">
            <v>1.5848676302196173E-2</v>
          </cell>
        </row>
        <row r="177">
          <cell r="A177" t="str">
            <v>TB</v>
          </cell>
          <cell r="B177" t="str">
            <v>F</v>
          </cell>
          <cell r="C177">
            <v>910</v>
          </cell>
          <cell r="D177">
            <v>1</v>
          </cell>
          <cell r="E177">
            <v>5</v>
          </cell>
          <cell r="F177">
            <v>0.99996070758816002</v>
          </cell>
          <cell r="G177">
            <v>0.79426453630368521</v>
          </cell>
          <cell r="H177">
            <v>0.99999999403915929</v>
          </cell>
          <cell r="I177">
            <v>6.2684891157492664E-3</v>
          </cell>
          <cell r="J177">
            <v>8.8648952398788037E-3</v>
          </cell>
        </row>
        <row r="178">
          <cell r="A178" t="str">
            <v>TB</v>
          </cell>
          <cell r="B178" t="str">
            <v>F</v>
          </cell>
          <cell r="C178">
            <v>920</v>
          </cell>
          <cell r="D178">
            <v>1</v>
          </cell>
          <cell r="E178">
            <v>5</v>
          </cell>
          <cell r="F178">
            <v>0.99998770685798755</v>
          </cell>
          <cell r="G178">
            <v>0.81639500638371609</v>
          </cell>
          <cell r="H178">
            <v>0.99999999932802619</v>
          </cell>
          <cell r="I178">
            <v>3.5061792788818737E-3</v>
          </cell>
          <cell r="J178">
            <v>4.9584710493729882E-3</v>
          </cell>
        </row>
        <row r="179">
          <cell r="A179" t="str">
            <v>TB</v>
          </cell>
          <cell r="B179" t="str">
            <v>F</v>
          </cell>
          <cell r="C179">
            <v>920</v>
          </cell>
          <cell r="D179">
            <v>1</v>
          </cell>
          <cell r="E179">
            <v>6</v>
          </cell>
          <cell r="F179">
            <v>0.99998770685798755</v>
          </cell>
          <cell r="G179">
            <v>0.81639500638371609</v>
          </cell>
          <cell r="H179">
            <v>0.99999999932802619</v>
          </cell>
          <cell r="I179">
            <v>3.5061792788818737E-3</v>
          </cell>
          <cell r="J179">
            <v>4.9584710493729882E-3</v>
          </cell>
        </row>
        <row r="180">
          <cell r="A180" t="str">
            <v>TB</v>
          </cell>
          <cell r="B180" t="str">
            <v>F</v>
          </cell>
          <cell r="C180">
            <v>930</v>
          </cell>
          <cell r="D180">
            <v>1</v>
          </cell>
          <cell r="E180">
            <v>5</v>
          </cell>
          <cell r="F180">
            <v>0.9999961540020128</v>
          </cell>
          <cell r="G180">
            <v>0.8362058371032175</v>
          </cell>
          <cell r="H180">
            <v>0.99999999992448452</v>
          </cell>
          <cell r="I180">
            <v>1.9611253858411791E-3</v>
          </cell>
          <cell r="J180">
            <v>2.7734474514676858E-3</v>
          </cell>
        </row>
        <row r="181">
          <cell r="A181" t="str">
            <v>TB</v>
          </cell>
          <cell r="B181" t="str">
            <v>F</v>
          </cell>
          <cell r="C181">
            <v>930</v>
          </cell>
          <cell r="D181">
            <v>1</v>
          </cell>
          <cell r="E181">
            <v>5</v>
          </cell>
          <cell r="F181">
            <v>0.9999961540020128</v>
          </cell>
          <cell r="G181">
            <v>0.8362058371032175</v>
          </cell>
          <cell r="H181">
            <v>0.99999999992448452</v>
          </cell>
          <cell r="I181">
            <v>1.9611253858411791E-3</v>
          </cell>
          <cell r="J181">
            <v>2.7734474514676858E-3</v>
          </cell>
        </row>
        <row r="182">
          <cell r="A182" t="str">
            <v>TB</v>
          </cell>
          <cell r="B182" t="str">
            <v>F</v>
          </cell>
          <cell r="C182">
            <v>930</v>
          </cell>
          <cell r="D182">
            <v>1</v>
          </cell>
          <cell r="E182">
            <v>6</v>
          </cell>
          <cell r="F182">
            <v>0.9999961540020128</v>
          </cell>
          <cell r="G182">
            <v>0.8362058371032175</v>
          </cell>
          <cell r="H182">
            <v>0.99999999992448452</v>
          </cell>
          <cell r="I182">
            <v>1.9611253858411791E-3</v>
          </cell>
          <cell r="J182">
            <v>2.7734474514676858E-3</v>
          </cell>
        </row>
        <row r="183">
          <cell r="A183" t="str">
            <v>TB</v>
          </cell>
          <cell r="B183" t="str">
            <v>F</v>
          </cell>
          <cell r="C183">
            <v>940</v>
          </cell>
          <cell r="D183">
            <v>1</v>
          </cell>
          <cell r="E183">
            <v>5</v>
          </cell>
          <cell r="F183">
            <v>0.99999879675882331</v>
          </cell>
          <cell r="G183">
            <v>0.85397131229979517</v>
          </cell>
          <cell r="H183">
            <v>0.99999999999153333</v>
          </cell>
          <cell r="I183">
            <v>1.096924165350276E-3</v>
          </cell>
          <cell r="J183">
            <v>1.5512845648343863E-3</v>
          </cell>
        </row>
        <row r="184">
          <cell r="A184" t="str">
            <v>TB</v>
          </cell>
          <cell r="B184" t="str">
            <v>F</v>
          </cell>
          <cell r="C184">
            <v>940</v>
          </cell>
          <cell r="D184">
            <v>1</v>
          </cell>
          <cell r="E184">
            <v>6</v>
          </cell>
          <cell r="F184">
            <v>0.99999879675882331</v>
          </cell>
          <cell r="G184">
            <v>0.85397131229979517</v>
          </cell>
          <cell r="H184">
            <v>0.99999999999153333</v>
          </cell>
          <cell r="I184">
            <v>1.096924165350276E-3</v>
          </cell>
          <cell r="J184">
            <v>1.5512845648343863E-3</v>
          </cell>
        </row>
        <row r="185">
          <cell r="A185" t="str">
            <v>TB</v>
          </cell>
          <cell r="B185" t="str">
            <v>F</v>
          </cell>
          <cell r="C185">
            <v>940</v>
          </cell>
          <cell r="D185">
            <v>1</v>
          </cell>
          <cell r="E185">
            <v>6</v>
          </cell>
          <cell r="F185">
            <v>0.99999879675882331</v>
          </cell>
          <cell r="G185">
            <v>0.85397131229979517</v>
          </cell>
          <cell r="H185">
            <v>0.99999999999153333</v>
          </cell>
          <cell r="I185">
            <v>1.096924165350276E-3</v>
          </cell>
          <cell r="J185">
            <v>1.5512845648343863E-3</v>
          </cell>
        </row>
        <row r="186">
          <cell r="A186" t="str">
            <v>TB</v>
          </cell>
          <cell r="B186" t="str">
            <v>F</v>
          </cell>
          <cell r="C186">
            <v>940</v>
          </cell>
          <cell r="D186">
            <v>1</v>
          </cell>
          <cell r="E186">
            <v>6</v>
          </cell>
          <cell r="F186">
            <v>0.99999879675882331</v>
          </cell>
          <cell r="G186">
            <v>0.85397131229979517</v>
          </cell>
          <cell r="H186">
            <v>0.99999999999153333</v>
          </cell>
          <cell r="I186">
            <v>1.096924165350276E-3</v>
          </cell>
          <cell r="J186">
            <v>1.5512845648343863E-3</v>
          </cell>
        </row>
        <row r="187">
          <cell r="A187" t="str">
            <v>TB</v>
          </cell>
          <cell r="B187" t="str">
            <v>F</v>
          </cell>
          <cell r="C187">
            <v>940</v>
          </cell>
          <cell r="D187">
            <v>1</v>
          </cell>
          <cell r="E187">
            <v>6</v>
          </cell>
          <cell r="F187">
            <v>0.99999879675882331</v>
          </cell>
          <cell r="G187">
            <v>0.85397131229979517</v>
          </cell>
          <cell r="H187">
            <v>0.99999999999153333</v>
          </cell>
          <cell r="I187">
            <v>1.096924165350276E-3</v>
          </cell>
          <cell r="J187">
            <v>1.5512845648343863E-3</v>
          </cell>
        </row>
        <row r="188">
          <cell r="A188" t="str">
            <v>TB</v>
          </cell>
          <cell r="B188" t="str">
            <v>F</v>
          </cell>
          <cell r="C188">
            <v>940</v>
          </cell>
          <cell r="D188">
            <v>1</v>
          </cell>
          <cell r="E188">
            <v>7</v>
          </cell>
          <cell r="F188">
            <v>0.99999879675882331</v>
          </cell>
          <cell r="G188">
            <v>0.85397131229979517</v>
          </cell>
          <cell r="H188">
            <v>0.99999999999153333</v>
          </cell>
          <cell r="I188">
            <v>1.096924165350276E-3</v>
          </cell>
          <cell r="J188">
            <v>1.5512845648343863E-3</v>
          </cell>
        </row>
        <row r="189">
          <cell r="A189" t="str">
            <v>TB</v>
          </cell>
          <cell r="B189" t="str">
            <v>F</v>
          </cell>
          <cell r="C189">
            <v>950</v>
          </cell>
          <cell r="D189">
            <v>1</v>
          </cell>
          <cell r="E189">
            <v>5</v>
          </cell>
          <cell r="F189">
            <v>0.99999962356020333</v>
          </cell>
          <cell r="G189">
            <v>0.86990928454894467</v>
          </cell>
          <cell r="H189">
            <v>0.99999999999905242</v>
          </cell>
          <cell r="I189">
            <v>6.1354701403279856E-4</v>
          </cell>
          <cell r="J189">
            <v>8.6768642661650579E-4</v>
          </cell>
        </row>
        <row r="190">
          <cell r="A190" t="str">
            <v>TB</v>
          </cell>
          <cell r="B190" t="str">
            <v>F</v>
          </cell>
          <cell r="C190">
            <v>950</v>
          </cell>
          <cell r="D190">
            <v>1</v>
          </cell>
          <cell r="E190">
            <v>5</v>
          </cell>
          <cell r="F190">
            <v>0.99999962356020333</v>
          </cell>
          <cell r="G190">
            <v>0.86990928454894467</v>
          </cell>
          <cell r="H190">
            <v>0.99999999999905242</v>
          </cell>
          <cell r="I190">
            <v>6.1354701403279856E-4</v>
          </cell>
          <cell r="J190">
            <v>8.6768642661650579E-4</v>
          </cell>
        </row>
        <row r="191">
          <cell r="A191" t="str">
            <v>TB</v>
          </cell>
          <cell r="B191" t="str">
            <v>F</v>
          </cell>
          <cell r="C191">
            <v>950</v>
          </cell>
          <cell r="D191">
            <v>1</v>
          </cell>
          <cell r="E191">
            <v>6</v>
          </cell>
          <cell r="F191">
            <v>0.99999962356020333</v>
          </cell>
          <cell r="G191">
            <v>0.86990928454894467</v>
          </cell>
          <cell r="H191">
            <v>0.99999999999905242</v>
          </cell>
          <cell r="I191">
            <v>6.1354701403279856E-4</v>
          </cell>
          <cell r="J191">
            <v>8.6768642661650579E-4</v>
          </cell>
        </row>
        <row r="192">
          <cell r="A192" t="str">
            <v>TB</v>
          </cell>
          <cell r="B192" t="str">
            <v>F</v>
          </cell>
          <cell r="C192">
            <v>960</v>
          </cell>
          <cell r="D192">
            <v>1</v>
          </cell>
          <cell r="E192">
            <v>6</v>
          </cell>
          <cell r="F192">
            <v>0.99999988222906366</v>
          </cell>
          <cell r="G192">
            <v>0.88420249560021069</v>
          </cell>
          <cell r="H192">
            <v>0.99999999999989408</v>
          </cell>
          <cell r="I192">
            <v>3.4317772399324666E-4</v>
          </cell>
          <cell r="J192">
            <v>4.8532657712667578E-4</v>
          </cell>
        </row>
        <row r="193">
          <cell r="A193" t="str">
            <v>TB</v>
          </cell>
          <cell r="B193" t="str">
            <v>F</v>
          </cell>
          <cell r="C193">
            <v>960</v>
          </cell>
          <cell r="D193">
            <v>1</v>
          </cell>
          <cell r="E193">
            <v>6</v>
          </cell>
          <cell r="F193">
            <v>0.99999988222906366</v>
          </cell>
          <cell r="G193">
            <v>0.88420249560021069</v>
          </cell>
          <cell r="H193">
            <v>0.99999999999989408</v>
          </cell>
          <cell r="I193">
            <v>3.4317772399324666E-4</v>
          </cell>
          <cell r="J193">
            <v>4.8532657712667578E-4</v>
          </cell>
        </row>
        <row r="194">
          <cell r="A194" t="str">
            <v>TB</v>
          </cell>
          <cell r="B194" t="str">
            <v>F</v>
          </cell>
          <cell r="C194">
            <v>960</v>
          </cell>
          <cell r="D194">
            <v>1</v>
          </cell>
          <cell r="E194">
            <v>6</v>
          </cell>
          <cell r="F194">
            <v>0.99999988222906366</v>
          </cell>
          <cell r="G194">
            <v>0.88420249560021069</v>
          </cell>
          <cell r="H194">
            <v>0.99999999999989408</v>
          </cell>
          <cell r="I194">
            <v>3.4317772399324666E-4</v>
          </cell>
          <cell r="J194">
            <v>4.8532657712667578E-4</v>
          </cell>
        </row>
        <row r="195">
          <cell r="A195" t="str">
            <v>TB</v>
          </cell>
          <cell r="B195" t="str">
            <v>F</v>
          </cell>
          <cell r="C195">
            <v>960</v>
          </cell>
          <cell r="D195">
            <v>1</v>
          </cell>
          <cell r="E195">
            <v>7</v>
          </cell>
          <cell r="F195">
            <v>0.99999988222906366</v>
          </cell>
          <cell r="G195">
            <v>0.88420249560021069</v>
          </cell>
          <cell r="H195">
            <v>0.99999999999989408</v>
          </cell>
          <cell r="I195">
            <v>3.4317772399324666E-4</v>
          </cell>
          <cell r="J195">
            <v>4.8532657712667578E-4</v>
          </cell>
        </row>
        <row r="196">
          <cell r="A196" t="str">
            <v>TB</v>
          </cell>
          <cell r="B196" t="str">
            <v>F</v>
          </cell>
          <cell r="C196">
            <v>970</v>
          </cell>
          <cell r="D196">
            <v>1</v>
          </cell>
          <cell r="E196">
            <v>6</v>
          </cell>
          <cell r="F196">
            <v>0.99999996315482287</v>
          </cell>
          <cell r="G196">
            <v>0.89701019738517107</v>
          </cell>
          <cell r="H196">
            <v>0.99999999999998812</v>
          </cell>
          <cell r="I196">
            <v>1.9195097949078864E-4</v>
          </cell>
          <cell r="J196">
            <v>2.7145967572331784E-4</v>
          </cell>
        </row>
        <row r="197">
          <cell r="A197" t="str">
            <v>TB</v>
          </cell>
          <cell r="B197" t="str">
            <v>F</v>
          </cell>
          <cell r="C197">
            <v>970</v>
          </cell>
          <cell r="D197">
            <v>1</v>
          </cell>
          <cell r="E197">
            <v>7</v>
          </cell>
          <cell r="F197">
            <v>0.99999996315482287</v>
          </cell>
          <cell r="G197">
            <v>0.89701019738517107</v>
          </cell>
          <cell r="H197">
            <v>0.99999999999998812</v>
          </cell>
          <cell r="I197">
            <v>1.9195097949078864E-4</v>
          </cell>
          <cell r="J197">
            <v>2.7145967572331784E-4</v>
          </cell>
        </row>
        <row r="198">
          <cell r="A198" t="str">
            <v>TB</v>
          </cell>
          <cell r="B198" t="str">
            <v>F</v>
          </cell>
          <cell r="C198">
            <v>980</v>
          </cell>
          <cell r="D198">
            <v>1</v>
          </cell>
          <cell r="E198">
            <v>6</v>
          </cell>
          <cell r="F198">
            <v>0.99999998847281812</v>
          </cell>
          <cell r="G198">
            <v>0.90847461654141903</v>
          </cell>
          <cell r="H198">
            <v>0.99999999999999867</v>
          </cell>
          <cell r="I198">
            <v>1.0736471502627123E-4</v>
          </cell>
          <cell r="J198">
            <v>1.5183663535523872E-4</v>
          </cell>
        </row>
        <row r="199">
          <cell r="A199" t="str">
            <v>TB</v>
          </cell>
          <cell r="B199" t="str">
            <v>F</v>
          </cell>
          <cell r="C199">
            <v>980</v>
          </cell>
          <cell r="D199">
            <v>1</v>
          </cell>
          <cell r="E199">
            <v>6</v>
          </cell>
          <cell r="F199">
            <v>0.99999998847281812</v>
          </cell>
          <cell r="G199">
            <v>0.90847461654141903</v>
          </cell>
          <cell r="H199">
            <v>0.99999999999999867</v>
          </cell>
          <cell r="I199">
            <v>1.0736471502627123E-4</v>
          </cell>
          <cell r="J199">
            <v>1.5183663535523872E-4</v>
          </cell>
        </row>
        <row r="200">
          <cell r="A200" t="str">
            <v>TB</v>
          </cell>
          <cell r="B200" t="str">
            <v>F</v>
          </cell>
          <cell r="C200">
            <v>980</v>
          </cell>
          <cell r="D200">
            <v>1</v>
          </cell>
          <cell r="E200">
            <v>8</v>
          </cell>
          <cell r="F200">
            <v>0.99999998847281812</v>
          </cell>
          <cell r="G200">
            <v>0.90847461654141903</v>
          </cell>
          <cell r="H200">
            <v>0.99999999999999867</v>
          </cell>
          <cell r="I200">
            <v>1.0736471502627123E-4</v>
          </cell>
          <cell r="J200">
            <v>1.5183663535523872E-4</v>
          </cell>
        </row>
        <row r="201">
          <cell r="A201" t="str">
            <v>TB</v>
          </cell>
          <cell r="B201" t="str">
            <v>F</v>
          </cell>
          <cell r="C201">
            <v>990</v>
          </cell>
          <cell r="D201">
            <v>1</v>
          </cell>
          <cell r="E201">
            <v>6</v>
          </cell>
          <cell r="F201">
            <v>0.99999999639366854</v>
          </cell>
          <cell r="G201">
            <v>0.9187246205466495</v>
          </cell>
          <cell r="H201">
            <v>1</v>
          </cell>
          <cell r="I201">
            <v>6.0052739515683452E-5</v>
          </cell>
          <cell r="J201">
            <v>8.4927397317348505E-5</v>
          </cell>
        </row>
        <row r="202">
          <cell r="A202" t="str">
            <v>TB</v>
          </cell>
          <cell r="B202" t="str">
            <v>F</v>
          </cell>
          <cell r="C202">
            <v>990</v>
          </cell>
          <cell r="D202">
            <v>1</v>
          </cell>
          <cell r="E202">
            <v>7</v>
          </cell>
          <cell r="F202">
            <v>0.99999999639366854</v>
          </cell>
          <cell r="G202">
            <v>0.9187246205466495</v>
          </cell>
          <cell r="H202">
            <v>1</v>
          </cell>
          <cell r="I202">
            <v>6.0052739515683452E-5</v>
          </cell>
          <cell r="J202">
            <v>8.4927397317348505E-5</v>
          </cell>
        </row>
        <row r="203">
          <cell r="A203" t="str">
            <v>TB</v>
          </cell>
          <cell r="B203" t="str">
            <v>F</v>
          </cell>
          <cell r="C203">
            <v>1000</v>
          </cell>
          <cell r="D203">
            <v>1</v>
          </cell>
          <cell r="E203">
            <v>7</v>
          </cell>
          <cell r="F203">
            <v>0.99999999887174273</v>
          </cell>
          <cell r="G203">
            <v>0.9278778544006604</v>
          </cell>
          <cell r="H203">
            <v>1</v>
          </cell>
          <cell r="I203">
            <v>3.3589541767247356E-5</v>
          </cell>
          <cell r="J203">
            <v>4.7502783423902303E-5</v>
          </cell>
        </row>
        <row r="204">
          <cell r="A204" t="str">
            <v>TB</v>
          </cell>
          <cell r="B204" t="str">
            <v>F</v>
          </cell>
          <cell r="C204">
            <v>1010</v>
          </cell>
          <cell r="D204">
            <v>1</v>
          </cell>
          <cell r="E204">
            <v>6</v>
          </cell>
          <cell r="F204">
            <v>0.99999999964701958</v>
          </cell>
          <cell r="G204">
            <v>0.93604204696700111</v>
          </cell>
          <cell r="H204">
            <v>1</v>
          </cell>
          <cell r="I204">
            <v>1.8787773514615703E-5</v>
          </cell>
          <cell r="J204">
            <v>2.6569923292054759E-5</v>
          </cell>
        </row>
        <row r="205">
          <cell r="A205" t="str">
            <v>TB</v>
          </cell>
          <cell r="B205" t="str">
            <v>F</v>
          </cell>
          <cell r="C205">
            <v>1010</v>
          </cell>
          <cell r="D205">
            <v>1</v>
          </cell>
          <cell r="E205">
            <v>7</v>
          </cell>
          <cell r="F205">
            <v>0.99999999964701958</v>
          </cell>
          <cell r="G205">
            <v>0.93604204696700111</v>
          </cell>
          <cell r="H205">
            <v>1</v>
          </cell>
          <cell r="I205">
            <v>1.8787773514615703E-5</v>
          </cell>
          <cell r="J205">
            <v>2.6569923292054759E-5</v>
          </cell>
        </row>
        <row r="206">
          <cell r="A206" t="str">
            <v>TB</v>
          </cell>
          <cell r="B206" t="str">
            <v>F</v>
          </cell>
          <cell r="C206">
            <v>1040</v>
          </cell>
          <cell r="D206">
            <v>1</v>
          </cell>
          <cell r="E206">
            <v>5</v>
          </cell>
          <cell r="F206">
            <v>0.9999999999891912</v>
          </cell>
          <cell r="G206">
            <v>0.95554563987633057</v>
          </cell>
          <cell r="H206">
            <v>1</v>
          </cell>
          <cell r="I206">
            <v>3.2876712351284558E-6</v>
          </cell>
          <cell r="J206">
            <v>4.6494761974650635E-6</v>
          </cell>
        </row>
        <row r="207">
          <cell r="A207" t="str">
            <v>TB</v>
          </cell>
          <cell r="B207" t="str">
            <v>F</v>
          </cell>
          <cell r="C207">
            <v>1040</v>
          </cell>
          <cell r="D207">
            <v>1</v>
          </cell>
          <cell r="E207">
            <v>7</v>
          </cell>
          <cell r="F207">
            <v>0.9999999999891912</v>
          </cell>
          <cell r="G207">
            <v>0.95554563987633057</v>
          </cell>
          <cell r="H207">
            <v>1</v>
          </cell>
          <cell r="I207">
            <v>3.2876712351284558E-6</v>
          </cell>
          <cell r="J207">
            <v>4.6494761974650635E-6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fe table"/>
      <sheetName val="matrix"/>
      <sheetName val="matrix with stochasticity"/>
      <sheetName val="CB_DATA_"/>
    </sheetNames>
    <sheetDataSet>
      <sheetData sheetId="0" refreshError="1"/>
      <sheetData sheetId="1">
        <row r="2">
          <cell r="J2">
            <v>32</v>
          </cell>
        </row>
        <row r="7">
          <cell r="B7">
            <v>0.93416161256858932</v>
          </cell>
        </row>
      </sheetData>
      <sheetData sheetId="2">
        <row r="8">
          <cell r="B8">
            <v>0.92383424731558006</v>
          </cell>
        </row>
      </sheetData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##NCstats parameters###"/>
      <sheetName val="selectivity-BLLOP"/>
      <sheetName val="Age length key-BLLOP"/>
      <sheetName val="selectivity-VIMS"/>
      <sheetName val="Age-length key VIMS"/>
      <sheetName val="selectivity-LPS"/>
      <sheetName val="Age-length key LPS"/>
      <sheetName val="selectivity-dealer weighout"/>
      <sheetName val="Age-length key dealer weighout"/>
      <sheetName val="catch curve BLLOP figure"/>
      <sheetName val="Male"/>
      <sheetName val="Female"/>
      <sheetName val="vtd2p Useable"/>
      <sheetName val="Sheet3"/>
      <sheetName val="Sheet1"/>
      <sheetName val="Sheet4"/>
      <sheetName val="Sheet5"/>
      <sheetName val="Sheet7"/>
      <sheetName val="Sheet8"/>
      <sheetName val="Sheet9"/>
      <sheetName val="Sheet10"/>
      <sheetName val="Sheet11"/>
    </sheetNames>
    <sheetDataSet>
      <sheetData sheetId="0"/>
      <sheetData sheetId="1"/>
      <sheetData sheetId="2">
        <row r="5">
          <cell r="K5">
            <v>93.746767241379317</v>
          </cell>
        </row>
        <row r="6">
          <cell r="K6">
            <v>103.325311302682</v>
          </cell>
        </row>
        <row r="7">
          <cell r="K7">
            <v>104.52262931034483</v>
          </cell>
        </row>
        <row r="8">
          <cell r="K8">
            <v>105.71994731800767</v>
          </cell>
        </row>
        <row r="9">
          <cell r="K9">
            <v>105.71994731800767</v>
          </cell>
        </row>
        <row r="10">
          <cell r="K10">
            <v>105.71994731800767</v>
          </cell>
        </row>
        <row r="11">
          <cell r="K11">
            <v>106.9172653256705</v>
          </cell>
        </row>
        <row r="12">
          <cell r="K12">
            <v>106.9172653256705</v>
          </cell>
        </row>
        <row r="13">
          <cell r="K13">
            <v>108.11458333333333</v>
          </cell>
        </row>
        <row r="14">
          <cell r="K14">
            <v>109.31190134099617</v>
          </cell>
        </row>
        <row r="15">
          <cell r="K15">
            <v>109.31190134099617</v>
          </cell>
        </row>
        <row r="16">
          <cell r="K16">
            <v>109.31190134099617</v>
          </cell>
        </row>
        <row r="17">
          <cell r="K17">
            <v>109.31190134099617</v>
          </cell>
        </row>
        <row r="18">
          <cell r="K18">
            <v>109.31190134099617</v>
          </cell>
        </row>
        <row r="19">
          <cell r="K19">
            <v>109.31190134099617</v>
          </cell>
        </row>
        <row r="20">
          <cell r="K20">
            <v>110.509219348659</v>
          </cell>
        </row>
        <row r="21">
          <cell r="K21">
            <v>110.509219348659</v>
          </cell>
        </row>
        <row r="22">
          <cell r="K22">
            <v>114.1011733716475</v>
          </cell>
        </row>
        <row r="23">
          <cell r="K23">
            <v>114.1011733716475</v>
          </cell>
        </row>
        <row r="24">
          <cell r="K24">
            <v>114.1011733716475</v>
          </cell>
        </row>
        <row r="25">
          <cell r="K25">
            <v>114.1011733716475</v>
          </cell>
        </row>
        <row r="26">
          <cell r="K26">
            <v>115.29849137931035</v>
          </cell>
        </row>
        <row r="27">
          <cell r="K27">
            <v>116.49580938697318</v>
          </cell>
        </row>
        <row r="28">
          <cell r="K28">
            <v>117.69312739463602</v>
          </cell>
        </row>
        <row r="29">
          <cell r="K29">
            <v>118.89044540229885</v>
          </cell>
        </row>
        <row r="30">
          <cell r="K30">
            <v>118.89044540229885</v>
          </cell>
        </row>
        <row r="31">
          <cell r="K31">
            <v>120.08776340996168</v>
          </cell>
        </row>
        <row r="32">
          <cell r="K32">
            <v>124.87703544061303</v>
          </cell>
        </row>
        <row r="33">
          <cell r="K33">
            <v>124.87703544061303</v>
          </cell>
        </row>
        <row r="34">
          <cell r="K34">
            <v>127.2716714559387</v>
          </cell>
        </row>
        <row r="35">
          <cell r="K35">
            <v>128.46898946360153</v>
          </cell>
        </row>
        <row r="36">
          <cell r="K36">
            <v>129.66630747126436</v>
          </cell>
        </row>
        <row r="37">
          <cell r="K37">
            <v>132.06094348659005</v>
          </cell>
        </row>
        <row r="38">
          <cell r="K38">
            <v>133.25826149425288</v>
          </cell>
        </row>
        <row r="39">
          <cell r="K39">
            <v>133.25826149425288</v>
          </cell>
        </row>
        <row r="40">
          <cell r="K40">
            <v>134.45557950191571</v>
          </cell>
        </row>
        <row r="41">
          <cell r="K41">
            <v>135.65289750957854</v>
          </cell>
        </row>
        <row r="42">
          <cell r="K42">
            <v>135.65289750957854</v>
          </cell>
        </row>
        <row r="43">
          <cell r="K43">
            <v>138.04753352490422</v>
          </cell>
        </row>
        <row r="44">
          <cell r="K44">
            <v>139.24485153256705</v>
          </cell>
        </row>
        <row r="45">
          <cell r="K45">
            <v>142.83680555555554</v>
          </cell>
        </row>
        <row r="46">
          <cell r="K46">
            <v>144.0341235632184</v>
          </cell>
        </row>
        <row r="47">
          <cell r="K47">
            <v>148.82339559386972</v>
          </cell>
        </row>
        <row r="48">
          <cell r="K48">
            <v>148.82339559386972</v>
          </cell>
        </row>
        <row r="49">
          <cell r="K49">
            <v>151.21803160919541</v>
          </cell>
        </row>
        <row r="50">
          <cell r="K50">
            <v>152.41534961685824</v>
          </cell>
        </row>
        <row r="51">
          <cell r="K51">
            <v>152.41534961685824</v>
          </cell>
        </row>
        <row r="52">
          <cell r="K52">
            <v>157.20462164750958</v>
          </cell>
        </row>
        <row r="53">
          <cell r="K53">
            <v>160.79657567049807</v>
          </cell>
        </row>
        <row r="54">
          <cell r="K54">
            <v>161.99389367816093</v>
          </cell>
        </row>
        <row r="55">
          <cell r="K55">
            <v>166.78316570881225</v>
          </cell>
        </row>
        <row r="56">
          <cell r="K56">
            <v>166.78316570881225</v>
          </cell>
        </row>
        <row r="57">
          <cell r="K57">
            <v>167.98048371647511</v>
          </cell>
        </row>
        <row r="58">
          <cell r="K58">
            <v>170.37511973180077</v>
          </cell>
        </row>
        <row r="59">
          <cell r="K59">
            <v>175.16439176245211</v>
          </cell>
        </row>
        <row r="60">
          <cell r="K60">
            <v>179.95366379310346</v>
          </cell>
        </row>
        <row r="61">
          <cell r="K61">
            <v>183.54561781609195</v>
          </cell>
        </row>
        <row r="62">
          <cell r="K62">
            <v>184.74293582375478</v>
          </cell>
        </row>
        <row r="63">
          <cell r="K63">
            <v>188.33488984674329</v>
          </cell>
        </row>
        <row r="64">
          <cell r="K64">
            <v>188.33488984674329</v>
          </cell>
        </row>
        <row r="65">
          <cell r="K65">
            <v>190.72952586206895</v>
          </cell>
        </row>
        <row r="66">
          <cell r="K66">
            <v>190.72952586206895</v>
          </cell>
        </row>
        <row r="67">
          <cell r="K67">
            <v>195.5187978927203</v>
          </cell>
        </row>
        <row r="68">
          <cell r="K68">
            <v>202.70270593869731</v>
          </cell>
        </row>
        <row r="69">
          <cell r="K69">
            <v>203.90002394636014</v>
          </cell>
        </row>
        <row r="70">
          <cell r="K70">
            <v>206.29465996168582</v>
          </cell>
        </row>
        <row r="71">
          <cell r="K71">
            <v>208.68929597701148</v>
          </cell>
        </row>
        <row r="72">
          <cell r="K72">
            <v>209.88661398467431</v>
          </cell>
        </row>
        <row r="73">
          <cell r="K73">
            <v>211.08393199233717</v>
          </cell>
        </row>
        <row r="74">
          <cell r="K74">
            <v>212.28125</v>
          </cell>
        </row>
        <row r="75">
          <cell r="K75">
            <v>213.47856800766283</v>
          </cell>
        </row>
        <row r="76">
          <cell r="K76">
            <v>214.67588601532566</v>
          </cell>
        </row>
        <row r="77">
          <cell r="K77">
            <v>217.07052203065135</v>
          </cell>
        </row>
        <row r="78">
          <cell r="K78">
            <v>220.66247605363984</v>
          </cell>
        </row>
        <row r="79">
          <cell r="K79">
            <v>221.85979406130267</v>
          </cell>
        </row>
        <row r="80">
          <cell r="K80">
            <v>238.62224616858236</v>
          </cell>
        </row>
        <row r="81">
          <cell r="K81">
            <v>241.01688218390805</v>
          </cell>
        </row>
        <row r="82">
          <cell r="K82">
            <v>281.72569444444446</v>
          </cell>
        </row>
        <row r="83">
          <cell r="K83">
            <v>293.69887452107281</v>
          </cell>
        </row>
        <row r="84">
          <cell r="K84">
            <v>296.09351053639847</v>
          </cell>
        </row>
        <row r="85">
          <cell r="K85">
            <v>306.86937260536399</v>
          </cell>
        </row>
        <row r="86">
          <cell r="K86">
            <v>306.86937260536399</v>
          </cell>
        </row>
        <row r="87">
          <cell r="K87">
            <v>308.06669061302682</v>
          </cell>
        </row>
        <row r="88">
          <cell r="K88">
            <v>308.06669061302682</v>
          </cell>
        </row>
        <row r="89">
          <cell r="K89">
            <v>309.26400862068965</v>
          </cell>
        </row>
        <row r="90">
          <cell r="K90">
            <v>310.46132662835248</v>
          </cell>
        </row>
        <row r="91">
          <cell r="K91">
            <v>311.65864463601531</v>
          </cell>
        </row>
        <row r="92">
          <cell r="K92">
            <v>311.65864463601531</v>
          </cell>
        </row>
        <row r="93">
          <cell r="K93">
            <v>312.85596264367814</v>
          </cell>
        </row>
        <row r="94">
          <cell r="K94">
            <v>316.44791666666663</v>
          </cell>
        </row>
        <row r="95">
          <cell r="K95">
            <v>316.44791666666663</v>
          </cell>
        </row>
        <row r="96">
          <cell r="K96">
            <v>317.64523467432952</v>
          </cell>
        </row>
        <row r="97">
          <cell r="K97">
            <v>318.84255268199234</v>
          </cell>
        </row>
        <row r="98">
          <cell r="K98">
            <v>320.03987068965517</v>
          </cell>
        </row>
        <row r="99">
          <cell r="K99">
            <v>320.03987068965517</v>
          </cell>
        </row>
        <row r="100">
          <cell r="K100">
            <v>320.03987068965517</v>
          </cell>
        </row>
        <row r="101">
          <cell r="K101">
            <v>322.43450670498083</v>
          </cell>
        </row>
        <row r="102">
          <cell r="K102">
            <v>323.63182471264366</v>
          </cell>
        </row>
        <row r="103">
          <cell r="K103">
            <v>324.82914272030649</v>
          </cell>
        </row>
        <row r="104">
          <cell r="K104">
            <v>324.82914272030649</v>
          </cell>
        </row>
        <row r="105">
          <cell r="K105">
            <v>326.02646072796932</v>
          </cell>
        </row>
        <row r="106">
          <cell r="K106">
            <v>326.02646072796932</v>
          </cell>
        </row>
        <row r="107">
          <cell r="K107">
            <v>327.22377873563215</v>
          </cell>
        </row>
        <row r="108">
          <cell r="K108">
            <v>328.42109674329498</v>
          </cell>
        </row>
        <row r="109">
          <cell r="K109">
            <v>330.8157327586207</v>
          </cell>
        </row>
        <row r="110">
          <cell r="K110">
            <v>335.60500478927202</v>
          </cell>
        </row>
        <row r="111">
          <cell r="K111">
            <v>337.99964080459768</v>
          </cell>
        </row>
        <row r="112">
          <cell r="K112">
            <v>339.1969588122605</v>
          </cell>
        </row>
        <row r="113">
          <cell r="K113">
            <v>339.1969588122605</v>
          </cell>
        </row>
        <row r="114">
          <cell r="K114">
            <v>342.78891283524905</v>
          </cell>
        </row>
        <row r="115">
          <cell r="K115">
            <v>346.38086685823754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3.vml"/><Relationship Id="rId7" Type="http://schemas.openxmlformats.org/officeDocument/2006/relationships/image" Target="../media/image2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J145"/>
  <sheetViews>
    <sheetView topLeftCell="A2" workbookViewId="0">
      <selection activeCell="I2" sqref="I2"/>
    </sheetView>
  </sheetViews>
  <sheetFormatPr defaultRowHeight="15" x14ac:dyDescent="0.25"/>
  <cols>
    <col min="1" max="1" width="9.140625" style="57"/>
    <col min="2" max="2" width="12.42578125" style="57" customWidth="1"/>
    <col min="3" max="3" width="9.140625" style="57"/>
    <col min="4" max="4" width="11" style="57" customWidth="1"/>
    <col min="5" max="5" width="7" style="57" customWidth="1"/>
    <col min="6" max="7" width="9.140625" style="57"/>
    <col min="8" max="8" width="7.85546875" style="57" customWidth="1"/>
    <col min="9" max="9" width="13.42578125" style="57" customWidth="1"/>
    <col min="10" max="10" width="11" style="57" customWidth="1"/>
    <col min="11" max="17" width="9.140625" style="57"/>
    <col min="18" max="18" width="11" style="57" customWidth="1"/>
    <col min="19" max="23" width="9.140625" style="57"/>
    <col min="24" max="24" width="11.7109375" style="57" customWidth="1"/>
    <col min="25" max="25" width="8.28515625" style="57" customWidth="1"/>
    <col min="26" max="26" width="13.28515625" style="57" customWidth="1"/>
    <col min="27" max="27" width="11.7109375" style="57" customWidth="1"/>
    <col min="28" max="16384" width="9.140625" style="57"/>
  </cols>
  <sheetData>
    <row r="2" spans="2:36" ht="18.75" x14ac:dyDescent="0.3">
      <c r="E2" s="72" t="s">
        <v>49</v>
      </c>
      <c r="F2" s="72"/>
      <c r="V2" s="72" t="s">
        <v>55</v>
      </c>
      <c r="W2" s="72"/>
    </row>
    <row r="5" spans="2:36" x14ac:dyDescent="0.25">
      <c r="B5" s="58" t="s">
        <v>28</v>
      </c>
      <c r="C5" s="58"/>
      <c r="G5" s="57" t="s">
        <v>29</v>
      </c>
      <c r="I5" s="57" t="s">
        <v>30</v>
      </c>
    </row>
    <row r="6" spans="2:36" x14ac:dyDescent="0.25">
      <c r="B6" s="59" t="s">
        <v>31</v>
      </c>
      <c r="C6" s="60" t="s">
        <v>32</v>
      </c>
      <c r="D6" s="61" t="s">
        <v>33</v>
      </c>
      <c r="E6" s="61" t="s">
        <v>34</v>
      </c>
      <c r="F6" s="61" t="s">
        <v>22</v>
      </c>
      <c r="G6" s="61" t="s">
        <v>35</v>
      </c>
      <c r="H6" s="61" t="s">
        <v>24</v>
      </c>
      <c r="I6" s="62" t="s">
        <v>36</v>
      </c>
      <c r="J6" s="61" t="s">
        <v>23</v>
      </c>
      <c r="K6" s="61" t="s">
        <v>22</v>
      </c>
      <c r="L6" s="61" t="s">
        <v>22</v>
      </c>
      <c r="M6" s="61" t="s">
        <v>37</v>
      </c>
      <c r="N6" s="61" t="s">
        <v>35</v>
      </c>
      <c r="O6" s="61" t="s">
        <v>38</v>
      </c>
      <c r="P6" s="61" t="s">
        <v>47</v>
      </c>
      <c r="Q6" s="61"/>
      <c r="T6" s="76" t="s">
        <v>28</v>
      </c>
      <c r="U6"/>
      <c r="V6"/>
      <c r="W6"/>
      <c r="X6"/>
      <c r="Y6" t="s">
        <v>29</v>
      </c>
      <c r="Z6" t="s">
        <v>30</v>
      </c>
      <c r="AA6"/>
      <c r="AB6"/>
      <c r="AC6" t="s">
        <v>29</v>
      </c>
      <c r="AD6"/>
      <c r="AE6"/>
      <c r="AF6"/>
      <c r="AG6"/>
      <c r="AH6"/>
      <c r="AI6"/>
    </row>
    <row r="7" spans="2:36" x14ac:dyDescent="0.25">
      <c r="B7" s="63" t="s">
        <v>25</v>
      </c>
      <c r="C7" s="64" t="s">
        <v>26</v>
      </c>
      <c r="D7" s="65" t="s">
        <v>26</v>
      </c>
      <c r="E7" s="65" t="s">
        <v>26</v>
      </c>
      <c r="F7" s="65" t="s">
        <v>26</v>
      </c>
      <c r="G7" s="65" t="s">
        <v>26</v>
      </c>
      <c r="H7" s="65" t="s">
        <v>26</v>
      </c>
      <c r="I7" s="66" t="s">
        <v>26</v>
      </c>
      <c r="J7" s="65" t="s">
        <v>26</v>
      </c>
      <c r="K7" s="65" t="s">
        <v>41</v>
      </c>
      <c r="L7" s="65" t="s">
        <v>27</v>
      </c>
      <c r="M7" s="65" t="s">
        <v>26</v>
      </c>
      <c r="N7" s="65" t="s">
        <v>42</v>
      </c>
      <c r="O7" s="65" t="s">
        <v>26</v>
      </c>
      <c r="P7" s="65" t="s">
        <v>48</v>
      </c>
      <c r="Q7" s="73" t="s">
        <v>50</v>
      </c>
      <c r="R7" s="74" t="s">
        <v>123</v>
      </c>
      <c r="T7" s="77" t="s">
        <v>31</v>
      </c>
      <c r="U7" s="78" t="s">
        <v>32</v>
      </c>
      <c r="V7" s="78" t="s">
        <v>34</v>
      </c>
      <c r="W7" s="79" t="s">
        <v>51</v>
      </c>
      <c r="X7" s="78" t="s">
        <v>33</v>
      </c>
      <c r="Y7" s="80" t="s">
        <v>40</v>
      </c>
      <c r="Z7" s="78" t="s">
        <v>36</v>
      </c>
      <c r="AA7" s="78" t="s">
        <v>52</v>
      </c>
      <c r="AB7" s="81" t="s">
        <v>53</v>
      </c>
      <c r="AC7" s="81" t="s">
        <v>38</v>
      </c>
      <c r="AD7" s="81" t="s">
        <v>54</v>
      </c>
      <c r="AE7" s="81" t="s">
        <v>37</v>
      </c>
      <c r="AF7" s="82" t="s">
        <v>40</v>
      </c>
      <c r="AG7" s="81" t="s">
        <v>39</v>
      </c>
      <c r="AH7" s="61" t="s">
        <v>47</v>
      </c>
      <c r="AI7" s="61"/>
    </row>
    <row r="8" spans="2:36" x14ac:dyDescent="0.25">
      <c r="B8" s="68">
        <v>1950</v>
      </c>
      <c r="C8" s="96">
        <v>105.63</v>
      </c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75">
        <f>SUM(C8:P8)</f>
        <v>105.63</v>
      </c>
      <c r="T8" s="83" t="s">
        <v>25</v>
      </c>
      <c r="U8" s="84" t="s">
        <v>26</v>
      </c>
      <c r="V8" s="85" t="s">
        <v>26</v>
      </c>
      <c r="W8" s="86" t="s">
        <v>26</v>
      </c>
      <c r="X8" s="85" t="s">
        <v>26</v>
      </c>
      <c r="Y8" s="85" t="s">
        <v>26</v>
      </c>
      <c r="Z8" s="85" t="s">
        <v>26</v>
      </c>
      <c r="AA8" s="85" t="s">
        <v>26</v>
      </c>
      <c r="AB8" s="85" t="s">
        <v>26</v>
      </c>
      <c r="AC8" s="85" t="s">
        <v>26</v>
      </c>
      <c r="AD8" s="85" t="s">
        <v>43</v>
      </c>
      <c r="AE8" s="85" t="s">
        <v>26</v>
      </c>
      <c r="AF8" s="85" t="s">
        <v>44</v>
      </c>
      <c r="AG8" s="85" t="s">
        <v>26</v>
      </c>
      <c r="AH8" s="65" t="s">
        <v>48</v>
      </c>
      <c r="AI8" s="73" t="s">
        <v>50</v>
      </c>
      <c r="AJ8" s="74" t="s">
        <v>123</v>
      </c>
    </row>
    <row r="9" spans="2:36" x14ac:dyDescent="0.25">
      <c r="B9" s="69">
        <v>1951</v>
      </c>
      <c r="C9" s="98">
        <v>70.614999999999995</v>
      </c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75">
        <f t="shared" ref="Q9:Q72" si="0">SUM(C9:P9)</f>
        <v>70.614999999999995</v>
      </c>
      <c r="T9" s="87">
        <v>1971</v>
      </c>
      <c r="U9" s="88"/>
      <c r="V9" s="89">
        <v>88</v>
      </c>
      <c r="W9" s="89"/>
      <c r="X9" s="89"/>
      <c r="Y9" s="90">
        <v>9.3266226838994815</v>
      </c>
      <c r="Z9" s="89"/>
      <c r="AA9" s="89"/>
      <c r="AB9" s="89"/>
      <c r="AC9" s="89"/>
      <c r="AD9" s="89"/>
      <c r="AE9" s="89"/>
      <c r="AF9" s="89"/>
      <c r="AG9" s="89"/>
      <c r="AH9" s="95">
        <v>0</v>
      </c>
      <c r="AI9" s="75">
        <f>SUM(U9:AH9)</f>
        <v>97.326622683899487</v>
      </c>
      <c r="AJ9" s="124">
        <v>1347.927645</v>
      </c>
    </row>
    <row r="10" spans="2:36" x14ac:dyDescent="0.25">
      <c r="B10" s="69">
        <v>1952</v>
      </c>
      <c r="C10" s="98">
        <v>70.614999999999995</v>
      </c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75">
        <f t="shared" si="0"/>
        <v>70.614999999999995</v>
      </c>
      <c r="T10" s="91">
        <v>1972</v>
      </c>
      <c r="U10" s="92"/>
      <c r="V10" s="92">
        <v>53</v>
      </c>
      <c r="W10" s="92"/>
      <c r="X10" s="92"/>
      <c r="Y10" s="90">
        <v>7.3280606802067352</v>
      </c>
      <c r="Z10" s="92"/>
      <c r="AA10" s="92"/>
      <c r="AB10" s="92"/>
      <c r="AC10" s="92"/>
      <c r="AD10" s="92"/>
      <c r="AE10" s="92"/>
      <c r="AF10" s="92"/>
      <c r="AG10" s="92"/>
      <c r="AH10" s="95">
        <v>0</v>
      </c>
      <c r="AI10" s="75">
        <f t="shared" ref="AI10:AI53" si="1">SUM(U10:AH10)</f>
        <v>60.328060680206733</v>
      </c>
      <c r="AJ10" s="124">
        <v>1503.0837042000007</v>
      </c>
    </row>
    <row r="11" spans="2:36" x14ac:dyDescent="0.25">
      <c r="B11" s="69">
        <v>1953</v>
      </c>
      <c r="C11" s="98">
        <v>87.94</v>
      </c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75">
        <f t="shared" si="0"/>
        <v>87.94</v>
      </c>
      <c r="T11" s="91">
        <v>1973</v>
      </c>
      <c r="U11" s="92"/>
      <c r="V11" s="92">
        <v>202</v>
      </c>
      <c r="W11" s="92"/>
      <c r="X11" s="92"/>
      <c r="Y11" s="90">
        <v>9.7505600786221844</v>
      </c>
      <c r="Z11" s="92"/>
      <c r="AA11" s="92"/>
      <c r="AB11" s="92"/>
      <c r="AC11" s="92"/>
      <c r="AD11" s="92"/>
      <c r="AE11" s="92"/>
      <c r="AF11" s="92"/>
      <c r="AG11" s="92"/>
      <c r="AH11" s="95">
        <v>0</v>
      </c>
      <c r="AI11" s="75">
        <f t="shared" si="1"/>
        <v>211.75056007862219</v>
      </c>
      <c r="AJ11" s="124">
        <v>1432.8258540000004</v>
      </c>
    </row>
    <row r="12" spans="2:36" x14ac:dyDescent="0.25">
      <c r="B12" s="69">
        <v>1954</v>
      </c>
      <c r="C12" s="98">
        <v>22.295999999999999</v>
      </c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75">
        <f t="shared" si="0"/>
        <v>22.295999999999999</v>
      </c>
      <c r="T12" s="91">
        <v>1974</v>
      </c>
      <c r="U12" s="92"/>
      <c r="V12" s="92">
        <v>39</v>
      </c>
      <c r="W12" s="92"/>
      <c r="X12" s="92"/>
      <c r="Y12" s="90">
        <v>28.161555506579603</v>
      </c>
      <c r="Z12" s="92"/>
      <c r="AA12" s="92"/>
      <c r="AB12" s="92"/>
      <c r="AC12" s="92"/>
      <c r="AD12" s="92"/>
      <c r="AE12" s="92"/>
      <c r="AF12" s="92"/>
      <c r="AG12" s="92"/>
      <c r="AH12" s="95">
        <v>0</v>
      </c>
      <c r="AI12" s="75">
        <f t="shared" si="1"/>
        <v>67.161555506579603</v>
      </c>
      <c r="AJ12" s="124">
        <v>1191.0420180000001</v>
      </c>
    </row>
    <row r="13" spans="2:36" x14ac:dyDescent="0.25">
      <c r="B13" s="69">
        <v>1955</v>
      </c>
      <c r="C13" s="98">
        <v>45.249000000000002</v>
      </c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75">
        <f t="shared" si="0"/>
        <v>45.249000000000002</v>
      </c>
      <c r="T13" s="91">
        <v>1975</v>
      </c>
      <c r="U13" s="92"/>
      <c r="V13" s="92">
        <v>45</v>
      </c>
      <c r="W13" s="92"/>
      <c r="X13" s="92"/>
      <c r="Y13" s="90">
        <v>31.129117269638527</v>
      </c>
      <c r="Z13" s="92"/>
      <c r="AA13" s="92"/>
      <c r="AB13" s="92"/>
      <c r="AC13" s="92"/>
      <c r="AD13" s="92"/>
      <c r="AE13" s="92"/>
      <c r="AF13" s="92"/>
      <c r="AG13" s="92"/>
      <c r="AH13" s="95">
        <v>0</v>
      </c>
      <c r="AI13" s="75">
        <f t="shared" si="1"/>
        <v>76.129117269638527</v>
      </c>
      <c r="AJ13" s="124">
        <v>1081.926291</v>
      </c>
    </row>
    <row r="14" spans="2:36" x14ac:dyDescent="0.25">
      <c r="B14" s="69">
        <v>1956</v>
      </c>
      <c r="C14" s="98">
        <v>27.34</v>
      </c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75">
        <f t="shared" si="0"/>
        <v>27.34</v>
      </c>
      <c r="T14" s="91">
        <v>1976</v>
      </c>
      <c r="U14" s="92"/>
      <c r="V14" s="92">
        <v>8</v>
      </c>
      <c r="W14" s="92"/>
      <c r="X14" s="92"/>
      <c r="Y14" s="90">
        <v>22.105307010540979</v>
      </c>
      <c r="Z14" s="92"/>
      <c r="AA14" s="92"/>
      <c r="AB14" s="92"/>
      <c r="AC14" s="92"/>
      <c r="AD14" s="92"/>
      <c r="AE14" s="92"/>
      <c r="AF14" s="92"/>
      <c r="AG14" s="92"/>
      <c r="AH14" s="95">
        <v>0</v>
      </c>
      <c r="AI14" s="75">
        <f t="shared" si="1"/>
        <v>30.105307010540979</v>
      </c>
      <c r="AJ14" s="124">
        <v>1179.2988960000002</v>
      </c>
    </row>
    <row r="15" spans="2:36" x14ac:dyDescent="0.25">
      <c r="B15" s="69">
        <v>1957</v>
      </c>
      <c r="C15" s="98">
        <v>73.100999999999999</v>
      </c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75">
        <f t="shared" si="0"/>
        <v>73.100999999999999</v>
      </c>
      <c r="T15" s="91">
        <v>1977</v>
      </c>
      <c r="U15" s="92"/>
      <c r="V15" s="92">
        <v>229</v>
      </c>
      <c r="W15" s="92"/>
      <c r="X15" s="92"/>
      <c r="Y15" s="90">
        <v>23.255994224788317</v>
      </c>
      <c r="Z15" s="92"/>
      <c r="AA15" s="92"/>
      <c r="AB15" s="92"/>
      <c r="AC15" s="92"/>
      <c r="AD15" s="92"/>
      <c r="AE15" s="92"/>
      <c r="AF15" s="92"/>
      <c r="AG15" s="92"/>
      <c r="AH15" s="95">
        <v>0</v>
      </c>
      <c r="AI15" s="75">
        <f t="shared" si="1"/>
        <v>252.25599422478831</v>
      </c>
      <c r="AJ15" s="124">
        <v>1419.4994640000002</v>
      </c>
    </row>
    <row r="16" spans="2:36" x14ac:dyDescent="0.25">
      <c r="B16" s="69">
        <v>1958</v>
      </c>
      <c r="C16" s="98">
        <v>60.82</v>
      </c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75">
        <f t="shared" si="0"/>
        <v>60.82</v>
      </c>
      <c r="T16" s="91">
        <v>1978</v>
      </c>
      <c r="U16" s="92"/>
      <c r="V16" s="92">
        <v>146</v>
      </c>
      <c r="W16" s="92"/>
      <c r="X16" s="92"/>
      <c r="Y16" s="90">
        <v>22.226431980461751</v>
      </c>
      <c r="Z16" s="92"/>
      <c r="AA16" s="92"/>
      <c r="AB16" s="92"/>
      <c r="AC16" s="92"/>
      <c r="AD16" s="92"/>
      <c r="AE16" s="92"/>
      <c r="AF16" s="92"/>
      <c r="AG16" s="92"/>
      <c r="AH16" s="95">
        <v>0</v>
      </c>
      <c r="AI16" s="75">
        <f t="shared" si="1"/>
        <v>168.22643198046174</v>
      </c>
      <c r="AJ16" s="124">
        <v>1150.0203210000004</v>
      </c>
    </row>
    <row r="17" spans="2:36" x14ac:dyDescent="0.25">
      <c r="B17" s="69">
        <v>1959</v>
      </c>
      <c r="C17" s="98">
        <v>80.411000000000001</v>
      </c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75">
        <f t="shared" si="0"/>
        <v>80.411000000000001</v>
      </c>
      <c r="T17" s="91">
        <v>1979</v>
      </c>
      <c r="U17" s="92"/>
      <c r="V17" s="92">
        <v>268</v>
      </c>
      <c r="W17" s="92"/>
      <c r="X17" s="92"/>
      <c r="Y17" s="90">
        <v>31.492492179400845</v>
      </c>
      <c r="Z17" s="92"/>
      <c r="AA17" s="92"/>
      <c r="AB17" s="92"/>
      <c r="AC17" s="92"/>
      <c r="AD17" s="92"/>
      <c r="AE17" s="92"/>
      <c r="AF17" s="92"/>
      <c r="AG17" s="92"/>
      <c r="AH17" s="95">
        <v>0</v>
      </c>
      <c r="AI17" s="75">
        <f t="shared" si="1"/>
        <v>299.49249217940087</v>
      </c>
      <c r="AJ17" s="124">
        <v>1123.1250810000001</v>
      </c>
    </row>
    <row r="18" spans="2:36" x14ac:dyDescent="0.25">
      <c r="B18" s="69">
        <v>1960</v>
      </c>
      <c r="C18" s="98">
        <v>52.779000000000003</v>
      </c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75">
        <f t="shared" si="0"/>
        <v>52.779000000000003</v>
      </c>
      <c r="T18" s="91">
        <v>1980</v>
      </c>
      <c r="U18" s="92"/>
      <c r="V18" s="92">
        <v>228</v>
      </c>
      <c r="W18" s="92"/>
      <c r="X18" s="92"/>
      <c r="Y18" s="90">
        <v>95.628163752449879</v>
      </c>
      <c r="Z18" s="92"/>
      <c r="AA18" s="92"/>
      <c r="AB18" s="92"/>
      <c r="AC18" s="92"/>
      <c r="AD18" s="92"/>
      <c r="AE18" s="92"/>
      <c r="AF18" s="92"/>
      <c r="AG18" s="92"/>
      <c r="AH18" s="95">
        <v>0</v>
      </c>
      <c r="AI18" s="75">
        <f t="shared" si="1"/>
        <v>323.62816375244989</v>
      </c>
      <c r="AJ18" s="124">
        <v>1371.2176410000004</v>
      </c>
    </row>
    <row r="19" spans="2:36" x14ac:dyDescent="0.25">
      <c r="B19" s="69">
        <v>1961</v>
      </c>
      <c r="C19" s="98">
        <v>124.271</v>
      </c>
      <c r="D19" s="98"/>
      <c r="E19" s="98"/>
      <c r="F19" s="98"/>
      <c r="G19" s="99">
        <v>3.9657</v>
      </c>
      <c r="H19" s="98"/>
      <c r="I19" s="98"/>
      <c r="J19" s="98"/>
      <c r="K19" s="98"/>
      <c r="L19" s="98"/>
      <c r="M19" s="98"/>
      <c r="N19" s="98"/>
      <c r="O19" s="98"/>
      <c r="P19" s="98"/>
      <c r="Q19" s="75">
        <f t="shared" si="0"/>
        <v>128.23670000000001</v>
      </c>
      <c r="T19" s="91">
        <v>1981</v>
      </c>
      <c r="U19" s="92"/>
      <c r="V19" s="92">
        <v>206</v>
      </c>
      <c r="W19" s="92"/>
      <c r="X19" s="92"/>
      <c r="Y19" s="90">
        <v>39.607865164092601</v>
      </c>
      <c r="Z19" s="93">
        <v>108</v>
      </c>
      <c r="AA19" s="92"/>
      <c r="AB19" s="92">
        <v>21.484000000000002</v>
      </c>
      <c r="AC19" s="92"/>
      <c r="AD19" s="92"/>
      <c r="AE19" s="92"/>
      <c r="AF19" s="92"/>
      <c r="AG19" s="92"/>
      <c r="AH19" s="95">
        <v>0</v>
      </c>
      <c r="AI19" s="75">
        <f t="shared" si="1"/>
        <v>375.09186516409255</v>
      </c>
      <c r="AJ19" s="124">
        <v>1185.3578239999997</v>
      </c>
    </row>
    <row r="20" spans="2:36" x14ac:dyDescent="0.25">
      <c r="B20" s="69">
        <v>1962</v>
      </c>
      <c r="C20" s="98">
        <v>168.13200000000001</v>
      </c>
      <c r="D20" s="98"/>
      <c r="E20" s="98"/>
      <c r="F20" s="98"/>
      <c r="G20" s="99">
        <v>7.9314</v>
      </c>
      <c r="H20" s="98"/>
      <c r="I20" s="98"/>
      <c r="J20" s="98"/>
      <c r="K20" s="98"/>
      <c r="L20" s="98"/>
      <c r="M20" s="98"/>
      <c r="N20" s="98"/>
      <c r="O20" s="98"/>
      <c r="P20" s="98"/>
      <c r="Q20" s="75">
        <f t="shared" si="0"/>
        <v>176.0634</v>
      </c>
      <c r="T20" s="91">
        <v>1982</v>
      </c>
      <c r="U20" s="92"/>
      <c r="V20" s="92">
        <v>703</v>
      </c>
      <c r="W20" s="92"/>
      <c r="X20" s="92"/>
      <c r="Y20" s="90">
        <v>61.652609689673191</v>
      </c>
      <c r="Z20" s="93">
        <v>131</v>
      </c>
      <c r="AA20" s="92"/>
      <c r="AB20" s="92">
        <v>77.965000000000003</v>
      </c>
      <c r="AC20" s="92"/>
      <c r="AD20" s="92"/>
      <c r="AE20" s="92"/>
      <c r="AF20" s="92"/>
      <c r="AG20" s="92"/>
      <c r="AH20" s="95">
        <v>0</v>
      </c>
      <c r="AI20" s="75">
        <f t="shared" si="1"/>
        <v>973.61760968967326</v>
      </c>
      <c r="AJ20" s="124">
        <v>1622.0844194000003</v>
      </c>
    </row>
    <row r="21" spans="2:36" x14ac:dyDescent="0.25">
      <c r="B21" s="69">
        <v>1963</v>
      </c>
      <c r="C21" s="98">
        <v>73.100999999999999</v>
      </c>
      <c r="D21" s="98"/>
      <c r="E21" s="98"/>
      <c r="F21" s="98"/>
      <c r="G21" s="99">
        <v>3.9657</v>
      </c>
      <c r="H21" s="98"/>
      <c r="I21" s="98"/>
      <c r="J21" s="98"/>
      <c r="K21" s="98"/>
      <c r="L21" s="98"/>
      <c r="M21" s="98"/>
      <c r="N21" s="98"/>
      <c r="O21" s="98"/>
      <c r="P21" s="98"/>
      <c r="Q21" s="75">
        <f t="shared" si="0"/>
        <v>77.066699999999997</v>
      </c>
      <c r="T21" s="91">
        <v>1983</v>
      </c>
      <c r="U21" s="92"/>
      <c r="V21" s="92">
        <v>252</v>
      </c>
      <c r="W21" s="92"/>
      <c r="X21" s="92"/>
      <c r="Y21" s="90">
        <v>47.299300754061655</v>
      </c>
      <c r="Z21" s="93">
        <v>59</v>
      </c>
      <c r="AA21" s="92"/>
      <c r="AB21" s="92">
        <v>153.33600000000001</v>
      </c>
      <c r="AC21" s="92"/>
      <c r="AD21" s="92"/>
      <c r="AE21" s="92"/>
      <c r="AF21" s="92"/>
      <c r="AG21" s="92"/>
      <c r="AH21" s="95">
        <v>0</v>
      </c>
      <c r="AI21" s="75">
        <f t="shared" si="1"/>
        <v>511.63530075406169</v>
      </c>
      <c r="AJ21" s="124">
        <v>1043.11283884</v>
      </c>
    </row>
    <row r="22" spans="2:36" x14ac:dyDescent="0.25">
      <c r="B22" s="69">
        <v>1964</v>
      </c>
      <c r="C22" s="98">
        <v>131.58099999999999</v>
      </c>
      <c r="D22" s="98"/>
      <c r="E22" s="98"/>
      <c r="F22" s="98"/>
      <c r="G22" s="99">
        <v>11.8971</v>
      </c>
      <c r="H22" s="98"/>
      <c r="I22" s="98"/>
      <c r="J22" s="98"/>
      <c r="K22" s="98"/>
      <c r="L22" s="98"/>
      <c r="M22" s="98"/>
      <c r="N22" s="98"/>
      <c r="O22" s="98"/>
      <c r="P22" s="98"/>
      <c r="Q22" s="75">
        <f t="shared" si="0"/>
        <v>143.47809999999998</v>
      </c>
      <c r="T22" s="91">
        <v>1984</v>
      </c>
      <c r="U22" s="92"/>
      <c r="V22" s="92">
        <v>462</v>
      </c>
      <c r="W22" s="92"/>
      <c r="X22" s="92"/>
      <c r="Y22" s="90">
        <v>28.282680476500374</v>
      </c>
      <c r="Z22" s="93">
        <v>36</v>
      </c>
      <c r="AA22" s="92"/>
      <c r="AB22" s="92">
        <v>218.49700000000001</v>
      </c>
      <c r="AC22" s="92"/>
      <c r="AD22" s="92"/>
      <c r="AE22" s="92"/>
      <c r="AF22" s="92"/>
      <c r="AG22" s="92"/>
      <c r="AH22" s="95">
        <v>0</v>
      </c>
      <c r="AI22" s="75">
        <f t="shared" si="1"/>
        <v>744.77968047650052</v>
      </c>
      <c r="AJ22" s="124">
        <v>1155.8160465999997</v>
      </c>
    </row>
    <row r="23" spans="2:36" x14ac:dyDescent="0.25">
      <c r="B23" s="69">
        <v>1965</v>
      </c>
      <c r="C23" s="98">
        <v>104.753</v>
      </c>
      <c r="D23" s="98"/>
      <c r="E23" s="98"/>
      <c r="F23" s="98"/>
      <c r="G23" s="99">
        <v>9.2533000000000012</v>
      </c>
      <c r="H23" s="98"/>
      <c r="I23" s="98"/>
      <c r="J23" s="98"/>
      <c r="K23" s="98"/>
      <c r="L23" s="98"/>
      <c r="M23" s="98"/>
      <c r="N23" s="98"/>
      <c r="O23" s="98"/>
      <c r="P23" s="98"/>
      <c r="Q23" s="75">
        <f t="shared" si="0"/>
        <v>114.0063</v>
      </c>
      <c r="T23" s="91">
        <v>1985</v>
      </c>
      <c r="U23" s="92"/>
      <c r="V23" s="92">
        <v>540</v>
      </c>
      <c r="W23" s="92"/>
      <c r="X23" s="92"/>
      <c r="Y23" s="90">
        <v>34.036116547737066</v>
      </c>
      <c r="Z23" s="93">
        <v>91</v>
      </c>
      <c r="AA23" s="92"/>
      <c r="AB23" s="92">
        <v>120.51300000000001</v>
      </c>
      <c r="AC23" s="92"/>
      <c r="AD23" s="92"/>
      <c r="AE23" s="92"/>
      <c r="AF23" s="92"/>
      <c r="AG23" s="92"/>
      <c r="AH23" s="95">
        <v>0</v>
      </c>
      <c r="AI23" s="75">
        <f t="shared" si="1"/>
        <v>785.54911654773707</v>
      </c>
      <c r="AJ23" s="124">
        <v>1547.2130502000002</v>
      </c>
    </row>
    <row r="24" spans="2:36" x14ac:dyDescent="0.25">
      <c r="B24" s="69">
        <v>1966</v>
      </c>
      <c r="C24" s="98">
        <v>219.22900000000001</v>
      </c>
      <c r="D24" s="98"/>
      <c r="E24" s="98"/>
      <c r="F24" s="98"/>
      <c r="G24" s="99">
        <v>7.9314</v>
      </c>
      <c r="H24" s="98"/>
      <c r="I24" s="98"/>
      <c r="J24" s="98"/>
      <c r="K24" s="98"/>
      <c r="L24" s="98"/>
      <c r="M24" s="98"/>
      <c r="N24" s="98"/>
      <c r="O24" s="98"/>
      <c r="P24" s="98"/>
      <c r="Q24" s="75">
        <f t="shared" si="0"/>
        <v>227.16040000000001</v>
      </c>
      <c r="T24" s="91">
        <v>1986</v>
      </c>
      <c r="U24" s="92">
        <v>5.5629999999999997</v>
      </c>
      <c r="V24" s="92">
        <v>428</v>
      </c>
      <c r="W24" s="92"/>
      <c r="X24" s="92"/>
      <c r="Y24" s="90">
        <v>45.542988690210457</v>
      </c>
      <c r="Z24" s="93">
        <v>87</v>
      </c>
      <c r="AA24" s="92"/>
      <c r="AB24" s="92">
        <v>42.679000000000002</v>
      </c>
      <c r="AC24" s="92"/>
      <c r="AD24" s="92"/>
      <c r="AE24" s="92"/>
      <c r="AF24" s="92"/>
      <c r="AG24" s="92"/>
      <c r="AH24" s="95">
        <v>0</v>
      </c>
      <c r="AI24" s="75">
        <f t="shared" si="1"/>
        <v>608.78498869021041</v>
      </c>
      <c r="AJ24" s="124">
        <v>1423.8409440000007</v>
      </c>
    </row>
    <row r="25" spans="2:36" x14ac:dyDescent="0.25">
      <c r="B25" s="69">
        <v>1967</v>
      </c>
      <c r="C25" s="98">
        <v>196.64099999999999</v>
      </c>
      <c r="D25" s="98"/>
      <c r="E25" s="98"/>
      <c r="F25" s="98"/>
      <c r="G25" s="99">
        <v>7.2704500000000003</v>
      </c>
      <c r="H25" s="98"/>
      <c r="I25" s="98"/>
      <c r="J25" s="98"/>
      <c r="K25" s="98"/>
      <c r="L25" s="98"/>
      <c r="M25" s="98"/>
      <c r="N25" s="98"/>
      <c r="O25" s="98"/>
      <c r="P25" s="98"/>
      <c r="Q25" s="75">
        <f t="shared" si="0"/>
        <v>203.91145</v>
      </c>
      <c r="T25" s="91">
        <v>1987</v>
      </c>
      <c r="U25" s="92">
        <v>0</v>
      </c>
      <c r="V25" s="92">
        <v>234</v>
      </c>
      <c r="W25" s="92"/>
      <c r="X25" s="92"/>
      <c r="Y25" s="90">
        <v>57.352673257485769</v>
      </c>
      <c r="Z25" s="93">
        <v>66</v>
      </c>
      <c r="AA25" s="92"/>
      <c r="AB25" s="92">
        <v>28.206</v>
      </c>
      <c r="AC25" s="92"/>
      <c r="AD25" s="92"/>
      <c r="AE25" s="92"/>
      <c r="AF25" s="92"/>
      <c r="AG25" s="92"/>
      <c r="AH25" s="95">
        <v>0.55500000000000005</v>
      </c>
      <c r="AI25" s="75">
        <f t="shared" si="1"/>
        <v>386.1136732574858</v>
      </c>
      <c r="AJ25" s="124">
        <v>1463.9504219999997</v>
      </c>
    </row>
    <row r="26" spans="2:36" x14ac:dyDescent="0.25">
      <c r="B26" s="69">
        <v>1968</v>
      </c>
      <c r="C26" s="98">
        <v>259.58</v>
      </c>
      <c r="D26" s="98"/>
      <c r="E26" s="98"/>
      <c r="F26" s="98"/>
      <c r="G26" s="99">
        <v>8.5923499999999997</v>
      </c>
      <c r="H26" s="98"/>
      <c r="I26" s="98"/>
      <c r="J26" s="98"/>
      <c r="K26" s="98"/>
      <c r="L26" s="98"/>
      <c r="M26" s="98"/>
      <c r="N26" s="98"/>
      <c r="O26" s="98"/>
      <c r="P26" s="98"/>
      <c r="Q26" s="75">
        <f t="shared" si="0"/>
        <v>268.17234999999999</v>
      </c>
      <c r="T26" s="91">
        <v>1988</v>
      </c>
      <c r="U26" s="92">
        <v>378.14699999999999</v>
      </c>
      <c r="V26" s="92">
        <v>525</v>
      </c>
      <c r="W26" s="92"/>
      <c r="X26" s="92"/>
      <c r="Y26" s="90">
        <v>70.373607523968815</v>
      </c>
      <c r="Z26" s="93">
        <v>35</v>
      </c>
      <c r="AA26" s="92"/>
      <c r="AB26" s="92">
        <v>22.696999999999999</v>
      </c>
      <c r="AC26" s="92"/>
      <c r="AD26" s="92"/>
      <c r="AE26" s="92"/>
      <c r="AF26" s="92"/>
      <c r="AG26" s="92"/>
      <c r="AH26" s="95">
        <v>0.44700000000000001</v>
      </c>
      <c r="AI26" s="75">
        <f t="shared" si="1"/>
        <v>1031.6646075239685</v>
      </c>
      <c r="AJ26" s="124">
        <v>1490.3739202000004</v>
      </c>
    </row>
    <row r="27" spans="2:36" x14ac:dyDescent="0.25">
      <c r="B27" s="69">
        <v>1969</v>
      </c>
      <c r="C27" s="98">
        <v>255.99799999999999</v>
      </c>
      <c r="D27" s="98"/>
      <c r="E27" s="98"/>
      <c r="F27" s="98"/>
      <c r="G27" s="99">
        <v>10.575200000000001</v>
      </c>
      <c r="H27" s="98"/>
      <c r="I27" s="98"/>
      <c r="J27" s="98"/>
      <c r="K27" s="98"/>
      <c r="L27" s="98"/>
      <c r="M27" s="98"/>
      <c r="N27" s="98"/>
      <c r="O27" s="98"/>
      <c r="P27" s="98"/>
      <c r="Q27" s="75">
        <f t="shared" si="0"/>
        <v>266.57319999999999</v>
      </c>
      <c r="T27" s="91">
        <v>1989</v>
      </c>
      <c r="U27" s="92">
        <v>808.88199999999995</v>
      </c>
      <c r="V27" s="92">
        <v>618</v>
      </c>
      <c r="W27" s="92"/>
      <c r="X27" s="92"/>
      <c r="Y27" s="90">
        <v>70.736982433731129</v>
      </c>
      <c r="Z27" s="93">
        <v>29</v>
      </c>
      <c r="AA27" s="92"/>
      <c r="AB27" s="92">
        <v>18.948</v>
      </c>
      <c r="AC27" s="92"/>
      <c r="AD27" s="92"/>
      <c r="AE27" s="92"/>
      <c r="AF27" s="92"/>
      <c r="AG27" s="92"/>
      <c r="AH27" s="95">
        <v>5.7000000000000002E-2</v>
      </c>
      <c r="AI27" s="75">
        <f t="shared" si="1"/>
        <v>1545.6239824337313</v>
      </c>
      <c r="AJ27" s="124">
        <v>1441.8874188000004</v>
      </c>
    </row>
    <row r="28" spans="2:36" x14ac:dyDescent="0.25">
      <c r="B28" s="69">
        <v>1970</v>
      </c>
      <c r="C28" s="98">
        <v>230.99799999999999</v>
      </c>
      <c r="D28" s="98"/>
      <c r="E28" s="98"/>
      <c r="F28" s="98"/>
      <c r="G28" s="99">
        <v>9.2533000000000012</v>
      </c>
      <c r="H28" s="98"/>
      <c r="I28" s="98"/>
      <c r="J28" s="98"/>
      <c r="K28" s="98"/>
      <c r="L28" s="98"/>
      <c r="M28" s="98"/>
      <c r="N28" s="98"/>
      <c r="O28" s="98"/>
      <c r="P28" s="98"/>
      <c r="Q28" s="75">
        <f t="shared" si="0"/>
        <v>240.25129999999999</v>
      </c>
      <c r="T28" s="91">
        <v>1990</v>
      </c>
      <c r="U28" s="92">
        <v>552.125</v>
      </c>
      <c r="V28" s="92">
        <v>538</v>
      </c>
      <c r="W28" s="92"/>
      <c r="X28" s="92"/>
      <c r="Y28" s="90">
        <v>102.71397449281507</v>
      </c>
      <c r="Z28" s="93">
        <v>36</v>
      </c>
      <c r="AA28" s="92"/>
      <c r="AB28" s="92">
        <v>26.19</v>
      </c>
      <c r="AC28" s="92"/>
      <c r="AD28" s="92"/>
      <c r="AE28" s="92"/>
      <c r="AF28" s="92"/>
      <c r="AG28" s="92"/>
      <c r="AH28" s="95">
        <v>7.5999999999999998E-2</v>
      </c>
      <c r="AI28" s="75">
        <f t="shared" si="1"/>
        <v>1255.1049744928152</v>
      </c>
      <c r="AJ28" s="124">
        <v>1555.9678153999996</v>
      </c>
    </row>
    <row r="29" spans="2:36" x14ac:dyDescent="0.25">
      <c r="B29" s="69">
        <v>1971</v>
      </c>
      <c r="C29" s="98">
        <v>247.37299999999999</v>
      </c>
      <c r="D29" s="98"/>
      <c r="E29" s="98">
        <v>112</v>
      </c>
      <c r="F29" s="98"/>
      <c r="G29" s="99">
        <v>13.879950000000001</v>
      </c>
      <c r="H29" s="98"/>
      <c r="I29" s="98"/>
      <c r="J29" s="98"/>
      <c r="K29" s="98"/>
      <c r="L29" s="98"/>
      <c r="M29" s="98"/>
      <c r="N29" s="98"/>
      <c r="O29" s="98"/>
      <c r="P29" s="98"/>
      <c r="Q29" s="75">
        <f t="shared" si="0"/>
        <v>373.25295</v>
      </c>
      <c r="R29" s="124">
        <v>2357.7974552040005</v>
      </c>
      <c r="T29" s="91">
        <v>1991</v>
      </c>
      <c r="U29" s="92">
        <v>327.40800000000002</v>
      </c>
      <c r="V29" s="92">
        <v>506</v>
      </c>
      <c r="W29" s="92"/>
      <c r="X29" s="92"/>
      <c r="Y29" s="90">
        <v>79.457980268026745</v>
      </c>
      <c r="Z29" s="93">
        <v>80</v>
      </c>
      <c r="AA29" s="92"/>
      <c r="AB29" s="92">
        <v>13.484999999999999</v>
      </c>
      <c r="AC29" s="92"/>
      <c r="AD29" s="92">
        <v>9.3000000000000007</v>
      </c>
      <c r="AE29" s="92"/>
      <c r="AF29" s="92"/>
      <c r="AG29" s="92"/>
      <c r="AH29" s="95">
        <v>46.031999999999996</v>
      </c>
      <c r="AI29" s="75">
        <f t="shared" si="1"/>
        <v>1061.6829802680268</v>
      </c>
      <c r="AJ29" s="124">
        <v>1557.1413114000009</v>
      </c>
    </row>
    <row r="30" spans="2:36" x14ac:dyDescent="0.25">
      <c r="B30" s="69">
        <v>1972</v>
      </c>
      <c r="C30" s="98">
        <v>234.65299999999999</v>
      </c>
      <c r="D30" s="98"/>
      <c r="E30" s="98">
        <v>115</v>
      </c>
      <c r="F30" s="98"/>
      <c r="G30" s="99">
        <v>9.9142500000000009</v>
      </c>
      <c r="H30" s="98"/>
      <c r="I30" s="98"/>
      <c r="J30" s="98"/>
      <c r="K30" s="98"/>
      <c r="L30" s="98"/>
      <c r="M30" s="98"/>
      <c r="N30" s="98"/>
      <c r="O30" s="98"/>
      <c r="P30" s="98"/>
      <c r="Q30" s="75">
        <f t="shared" si="0"/>
        <v>359.56725</v>
      </c>
      <c r="R30" s="124">
        <v>2218.9948647000001</v>
      </c>
      <c r="T30" s="91">
        <v>1992</v>
      </c>
      <c r="U30" s="92">
        <v>421.25099999999998</v>
      </c>
      <c r="V30" s="92">
        <v>460</v>
      </c>
      <c r="W30" s="92"/>
      <c r="X30" s="92"/>
      <c r="Y30" s="90">
        <v>158.00752326164772</v>
      </c>
      <c r="Z30" s="93">
        <v>44</v>
      </c>
      <c r="AA30" s="92">
        <v>64.343999999999994</v>
      </c>
      <c r="AB30" s="92">
        <v>20.303000000000001</v>
      </c>
      <c r="AC30" s="92"/>
      <c r="AD30" s="92">
        <v>13.1</v>
      </c>
      <c r="AE30" s="92"/>
      <c r="AF30" s="92"/>
      <c r="AG30" s="92"/>
      <c r="AH30" s="95">
        <v>1.968</v>
      </c>
      <c r="AI30" s="75">
        <f t="shared" si="1"/>
        <v>1182.9735232616479</v>
      </c>
      <c r="AJ30" s="124">
        <v>1565.6807592</v>
      </c>
    </row>
    <row r="31" spans="2:36" x14ac:dyDescent="0.25">
      <c r="B31" s="69">
        <v>1973</v>
      </c>
      <c r="C31" s="98">
        <v>280.19499999999999</v>
      </c>
      <c r="D31" s="98"/>
      <c r="E31" s="98">
        <v>61</v>
      </c>
      <c r="F31" s="98"/>
      <c r="G31" s="99">
        <v>6.6095000000000006</v>
      </c>
      <c r="H31" s="98"/>
      <c r="I31" s="98"/>
      <c r="J31" s="98"/>
      <c r="K31" s="98"/>
      <c r="L31" s="98"/>
      <c r="M31" s="98"/>
      <c r="N31" s="98"/>
      <c r="O31" s="98"/>
      <c r="P31" s="98"/>
      <c r="Q31" s="75">
        <f t="shared" si="0"/>
        <v>347.80450000000002</v>
      </c>
      <c r="R31" s="124">
        <v>2114.1911347600003</v>
      </c>
      <c r="T31" s="91">
        <v>1993</v>
      </c>
      <c r="U31" s="92">
        <v>772.22299999999996</v>
      </c>
      <c r="V31" s="92">
        <v>701</v>
      </c>
      <c r="W31" s="92"/>
      <c r="X31" s="92"/>
      <c r="Y31" s="90">
        <v>121.9122822252575</v>
      </c>
      <c r="Z31" s="93">
        <v>31</v>
      </c>
      <c r="AA31" s="92">
        <v>43.387999999999998</v>
      </c>
      <c r="AB31" s="92">
        <v>28.027999999999999</v>
      </c>
      <c r="AC31" s="92">
        <v>34.438000000000002</v>
      </c>
      <c r="AD31" s="92">
        <v>9.52</v>
      </c>
      <c r="AE31" s="92"/>
      <c r="AF31" s="92"/>
      <c r="AG31" s="92"/>
      <c r="AH31" s="95">
        <v>1.4590000000000001</v>
      </c>
      <c r="AI31" s="75">
        <f t="shared" si="1"/>
        <v>1742.9682822252576</v>
      </c>
      <c r="AJ31" s="124">
        <v>1668.4585887707271</v>
      </c>
    </row>
    <row r="32" spans="2:36" x14ac:dyDescent="0.25">
      <c r="B32" s="69">
        <v>1974</v>
      </c>
      <c r="C32" s="98">
        <v>211.48</v>
      </c>
      <c r="D32" s="98"/>
      <c r="E32" s="98">
        <v>307</v>
      </c>
      <c r="F32" s="98"/>
      <c r="G32" s="99">
        <v>7.9314</v>
      </c>
      <c r="H32" s="98"/>
      <c r="I32" s="98"/>
      <c r="J32" s="98"/>
      <c r="K32" s="98"/>
      <c r="L32" s="98"/>
      <c r="M32" s="98"/>
      <c r="N32" s="98"/>
      <c r="O32" s="98"/>
      <c r="P32" s="98"/>
      <c r="Q32" s="75">
        <f t="shared" si="0"/>
        <v>526.41140000000007</v>
      </c>
      <c r="R32" s="124">
        <v>2259.5432559200008</v>
      </c>
      <c r="T32" s="91">
        <v>1994</v>
      </c>
      <c r="U32" s="92">
        <v>552.14700000000005</v>
      </c>
      <c r="V32" s="92">
        <v>1369</v>
      </c>
      <c r="W32" s="92"/>
      <c r="X32" s="92"/>
      <c r="Y32" s="90">
        <v>95.143663872766794</v>
      </c>
      <c r="Z32" s="93">
        <v>65</v>
      </c>
      <c r="AA32" s="92">
        <v>22.959</v>
      </c>
      <c r="AB32" s="92">
        <v>11.917</v>
      </c>
      <c r="AC32" s="92">
        <v>45.331000000000003</v>
      </c>
      <c r="AD32" s="92">
        <v>19.57</v>
      </c>
      <c r="AE32" s="92"/>
      <c r="AF32" s="92"/>
      <c r="AG32" s="92"/>
      <c r="AH32" s="95">
        <v>1.351</v>
      </c>
      <c r="AI32" s="75">
        <f t="shared" si="1"/>
        <v>2182.418663872767</v>
      </c>
      <c r="AJ32" s="124">
        <v>2079.1468441906204</v>
      </c>
    </row>
    <row r="33" spans="2:36" x14ac:dyDescent="0.25">
      <c r="B33" s="69">
        <v>1975</v>
      </c>
      <c r="C33" s="98">
        <v>273.90800000000002</v>
      </c>
      <c r="D33" s="98"/>
      <c r="E33" s="98">
        <v>344</v>
      </c>
      <c r="F33" s="98"/>
      <c r="G33" s="99">
        <v>9.9142500000000009</v>
      </c>
      <c r="H33" s="98"/>
      <c r="I33" s="98"/>
      <c r="J33" s="98"/>
      <c r="K33" s="98"/>
      <c r="L33" s="98"/>
      <c r="M33" s="98"/>
      <c r="N33" s="98"/>
      <c r="O33" s="98"/>
      <c r="P33" s="98"/>
      <c r="Q33" s="75">
        <f t="shared" si="0"/>
        <v>627.82225000000005</v>
      </c>
      <c r="R33" s="124">
        <v>1742.7100440000004</v>
      </c>
      <c r="T33" s="91">
        <v>1995</v>
      </c>
      <c r="U33" s="92">
        <v>1084.0350000000001</v>
      </c>
      <c r="V33" s="92">
        <v>1617</v>
      </c>
      <c r="W33" s="92"/>
      <c r="X33" s="92">
        <v>92</v>
      </c>
      <c r="Y33" s="90">
        <v>119.3080953719609</v>
      </c>
      <c r="Z33" s="93">
        <v>87</v>
      </c>
      <c r="AA33" s="92">
        <v>46.061999999999998</v>
      </c>
      <c r="AB33" s="92">
        <v>16.786000000000001</v>
      </c>
      <c r="AC33" s="92">
        <v>22.625</v>
      </c>
      <c r="AD33" s="92">
        <v>12.51</v>
      </c>
      <c r="AE33" s="92"/>
      <c r="AF33" s="92"/>
      <c r="AG33" s="92"/>
      <c r="AH33" s="95">
        <v>2.6560000000000001</v>
      </c>
      <c r="AI33" s="75">
        <f t="shared" si="1"/>
        <v>3099.9820953719609</v>
      </c>
      <c r="AJ33" s="124">
        <v>2007.9864194950001</v>
      </c>
    </row>
    <row r="34" spans="2:36" x14ac:dyDescent="0.25">
      <c r="B34" s="69">
        <v>1976</v>
      </c>
      <c r="C34" s="98">
        <v>205.851</v>
      </c>
      <c r="D34" s="98"/>
      <c r="E34" s="98">
        <v>84</v>
      </c>
      <c r="F34" s="98"/>
      <c r="G34" s="99">
        <v>7.9314</v>
      </c>
      <c r="H34" s="98"/>
      <c r="I34" s="98"/>
      <c r="J34" s="98"/>
      <c r="K34" s="98"/>
      <c r="L34" s="98"/>
      <c r="M34" s="98"/>
      <c r="N34" s="98"/>
      <c r="O34" s="98"/>
      <c r="P34" s="98"/>
      <c r="Q34" s="75">
        <f t="shared" si="0"/>
        <v>297.7824</v>
      </c>
      <c r="R34" s="124">
        <v>1907.0440680000002</v>
      </c>
      <c r="T34" s="91">
        <v>1996</v>
      </c>
      <c r="U34" s="92">
        <v>1481.6590000000001</v>
      </c>
      <c r="V34" s="92">
        <v>514</v>
      </c>
      <c r="W34" s="92"/>
      <c r="X34" s="92">
        <v>94</v>
      </c>
      <c r="Y34" s="90">
        <v>114.58422154505077</v>
      </c>
      <c r="Z34" s="93">
        <v>117</v>
      </c>
      <c r="AA34" s="92">
        <v>36.01</v>
      </c>
      <c r="AB34" s="92">
        <v>26.282</v>
      </c>
      <c r="AC34" s="92">
        <v>27</v>
      </c>
      <c r="AD34" s="92">
        <v>14.9</v>
      </c>
      <c r="AE34" s="92"/>
      <c r="AF34" s="92"/>
      <c r="AG34" s="92"/>
      <c r="AH34" s="95">
        <v>1.3740000000000001</v>
      </c>
      <c r="AI34" s="75">
        <f t="shared" si="1"/>
        <v>2426.8092215450511</v>
      </c>
      <c r="AJ34" s="124">
        <v>1934.6966821628519</v>
      </c>
    </row>
    <row r="35" spans="2:36" x14ac:dyDescent="0.25">
      <c r="B35" s="69">
        <v>1977</v>
      </c>
      <c r="C35" s="98">
        <v>241.89</v>
      </c>
      <c r="D35" s="98"/>
      <c r="E35" s="98">
        <v>236</v>
      </c>
      <c r="F35" s="98"/>
      <c r="G35" s="99">
        <v>3.9657</v>
      </c>
      <c r="H35" s="98"/>
      <c r="I35" s="98"/>
      <c r="J35" s="98"/>
      <c r="K35" s="98"/>
      <c r="L35" s="98"/>
      <c r="M35" s="98"/>
      <c r="N35" s="98"/>
      <c r="O35" s="98"/>
      <c r="P35" s="98"/>
      <c r="Q35" s="75">
        <f t="shared" si="0"/>
        <v>481.85570000000001</v>
      </c>
      <c r="R35" s="124">
        <v>2066.5310630000004</v>
      </c>
      <c r="T35" s="91">
        <v>1997</v>
      </c>
      <c r="U35" s="92">
        <v>1356.001</v>
      </c>
      <c r="V35" s="92">
        <v>244</v>
      </c>
      <c r="W35" s="92"/>
      <c r="X35" s="92">
        <v>165</v>
      </c>
      <c r="Y35" s="90">
        <v>248.30618833758359</v>
      </c>
      <c r="Z35" s="93">
        <v>139</v>
      </c>
      <c r="AA35" s="92">
        <v>29.204999999999998</v>
      </c>
      <c r="AB35" s="92">
        <v>20.282</v>
      </c>
      <c r="AC35" s="92">
        <v>19.2</v>
      </c>
      <c r="AD35" s="92">
        <v>22.6</v>
      </c>
      <c r="AE35" s="92"/>
      <c r="AF35" s="92"/>
      <c r="AG35" s="92"/>
      <c r="AH35" s="95">
        <v>3.7810000000000001</v>
      </c>
      <c r="AI35" s="75">
        <f t="shared" si="1"/>
        <v>2247.375188337583</v>
      </c>
      <c r="AJ35" s="124">
        <v>2555.2111899747879</v>
      </c>
    </row>
    <row r="36" spans="2:36" x14ac:dyDescent="0.25">
      <c r="B36" s="69">
        <v>1978</v>
      </c>
      <c r="C36" s="98">
        <v>263.96600000000001</v>
      </c>
      <c r="D36" s="98"/>
      <c r="E36" s="98">
        <v>153</v>
      </c>
      <c r="F36" s="98"/>
      <c r="G36" s="99">
        <v>7.2704500000000003</v>
      </c>
      <c r="H36" s="98"/>
      <c r="I36" s="98"/>
      <c r="J36" s="98"/>
      <c r="K36" s="98"/>
      <c r="L36" s="98"/>
      <c r="M36" s="98"/>
      <c r="N36" s="98"/>
      <c r="O36" s="98"/>
      <c r="P36" s="98"/>
      <c r="Q36" s="75">
        <f t="shared" si="0"/>
        <v>424.23644999999999</v>
      </c>
      <c r="R36" s="124">
        <v>2168.451078000001</v>
      </c>
      <c r="T36" s="91">
        <v>1998</v>
      </c>
      <c r="U36" s="92">
        <v>984.15300000000002</v>
      </c>
      <c r="V36" s="92">
        <v>267</v>
      </c>
      <c r="W36" s="92"/>
      <c r="X36" s="92">
        <v>116</v>
      </c>
      <c r="Y36" s="90">
        <v>232.80219218772473</v>
      </c>
      <c r="Z36" s="93">
        <v>130</v>
      </c>
      <c r="AA36" s="92">
        <v>168.417</v>
      </c>
      <c r="AB36" s="92">
        <v>23.257000000000001</v>
      </c>
      <c r="AC36" s="92">
        <v>74.400000000000006</v>
      </c>
      <c r="AD36" s="92">
        <v>10.199999999999999</v>
      </c>
      <c r="AE36" s="92"/>
      <c r="AF36" s="92"/>
      <c r="AG36" s="92"/>
      <c r="AH36" s="95">
        <v>3.1680000000000001</v>
      </c>
      <c r="AI36" s="75">
        <f t="shared" si="1"/>
        <v>2009.3971921877248</v>
      </c>
      <c r="AJ36" s="124">
        <v>2357.9288432149242</v>
      </c>
    </row>
    <row r="37" spans="2:36" x14ac:dyDescent="0.25">
      <c r="B37" s="69">
        <v>1979</v>
      </c>
      <c r="C37" s="98">
        <v>188.74600000000001</v>
      </c>
      <c r="D37" s="98"/>
      <c r="E37" s="98">
        <v>45</v>
      </c>
      <c r="F37" s="98"/>
      <c r="G37" s="99">
        <v>137.4776</v>
      </c>
      <c r="H37" s="98"/>
      <c r="I37" s="98"/>
      <c r="J37" s="98"/>
      <c r="K37" s="98"/>
      <c r="L37" s="98"/>
      <c r="M37" s="98"/>
      <c r="N37" s="98"/>
      <c r="O37" s="98"/>
      <c r="P37" s="98"/>
      <c r="Q37" s="75">
        <f t="shared" si="0"/>
        <v>371.22360000000003</v>
      </c>
      <c r="R37" s="124">
        <v>2146.7574489999997</v>
      </c>
      <c r="T37" s="91">
        <v>1999</v>
      </c>
      <c r="U37" s="92">
        <v>861.30300000000011</v>
      </c>
      <c r="V37" s="92">
        <v>151</v>
      </c>
      <c r="W37" s="92">
        <v>1.228</v>
      </c>
      <c r="X37" s="92">
        <v>118.5</v>
      </c>
      <c r="Y37" s="92">
        <v>26.776000000000003</v>
      </c>
      <c r="Z37" s="93">
        <v>198</v>
      </c>
      <c r="AA37" s="92">
        <v>66.106999999999999</v>
      </c>
      <c r="AB37" s="92">
        <v>21.006</v>
      </c>
      <c r="AC37" s="92">
        <v>126</v>
      </c>
      <c r="AD37" s="92">
        <v>9.8000000000000007</v>
      </c>
      <c r="AE37" s="92"/>
      <c r="AF37" s="92"/>
      <c r="AG37" s="92"/>
      <c r="AH37" s="95">
        <v>26.872</v>
      </c>
      <c r="AI37" s="75">
        <f t="shared" si="1"/>
        <v>1606.5920000000001</v>
      </c>
      <c r="AJ37" s="124">
        <v>2351.7035013389864</v>
      </c>
    </row>
    <row r="38" spans="2:36" x14ac:dyDescent="0.25">
      <c r="B38" s="69">
        <v>1980</v>
      </c>
      <c r="C38" s="98">
        <v>278.51299999999998</v>
      </c>
      <c r="D38" s="98"/>
      <c r="E38" s="98">
        <v>246</v>
      </c>
      <c r="F38" s="98"/>
      <c r="G38" s="99">
        <v>89.889200000000002</v>
      </c>
      <c r="H38" s="98"/>
      <c r="I38" s="98"/>
      <c r="J38" s="98"/>
      <c r="K38" s="98"/>
      <c r="L38" s="98"/>
      <c r="M38" s="98"/>
      <c r="N38" s="98"/>
      <c r="O38" s="98"/>
      <c r="P38" s="98"/>
      <c r="Q38" s="75">
        <f t="shared" si="0"/>
        <v>614.40219999999988</v>
      </c>
      <c r="R38" s="124">
        <v>1720.459525</v>
      </c>
      <c r="T38" s="91">
        <v>2000</v>
      </c>
      <c r="U38" s="92">
        <v>1089.67</v>
      </c>
      <c r="V38" s="92">
        <v>264</v>
      </c>
      <c r="W38" s="92"/>
      <c r="X38" s="92">
        <v>387.7</v>
      </c>
      <c r="Y38" s="92">
        <v>218.5</v>
      </c>
      <c r="Z38" s="93">
        <v>162</v>
      </c>
      <c r="AA38" s="92">
        <v>102.536</v>
      </c>
      <c r="AB38" s="92">
        <v>34.542000000000002</v>
      </c>
      <c r="AC38" s="92">
        <v>305.399</v>
      </c>
      <c r="AD38" s="92">
        <v>9</v>
      </c>
      <c r="AE38" s="92"/>
      <c r="AF38" s="92"/>
      <c r="AG38" s="92"/>
      <c r="AH38" s="95">
        <v>16.356000000000002</v>
      </c>
      <c r="AI38" s="75">
        <f t="shared" si="1"/>
        <v>2589.703</v>
      </c>
      <c r="AJ38" s="124">
        <v>2830.8837559318417</v>
      </c>
    </row>
    <row r="39" spans="2:36" x14ac:dyDescent="0.25">
      <c r="B39" s="69">
        <v>1981</v>
      </c>
      <c r="C39" s="98">
        <v>293.35300000000001</v>
      </c>
      <c r="D39" s="98"/>
      <c r="E39" s="98">
        <v>387</v>
      </c>
      <c r="F39" s="98"/>
      <c r="G39" s="99">
        <v>81.957800000000006</v>
      </c>
      <c r="H39" s="98"/>
      <c r="I39" s="100">
        <v>32</v>
      </c>
      <c r="J39" s="98"/>
      <c r="K39" s="98">
        <v>384.96</v>
      </c>
      <c r="L39" s="98"/>
      <c r="M39" s="98"/>
      <c r="N39" s="98"/>
      <c r="O39" s="98"/>
      <c r="P39" s="98"/>
      <c r="Q39" s="75">
        <f t="shared" si="0"/>
        <v>1179.2708</v>
      </c>
      <c r="R39" s="124">
        <v>2286.0653219999995</v>
      </c>
      <c r="T39" s="91">
        <v>2001</v>
      </c>
      <c r="U39" s="92">
        <v>1234.616</v>
      </c>
      <c r="V39" s="92">
        <v>56</v>
      </c>
      <c r="W39" s="92"/>
      <c r="X39" s="92">
        <v>140.1</v>
      </c>
      <c r="Y39" s="92">
        <v>409.4</v>
      </c>
      <c r="Z39" s="93">
        <v>120</v>
      </c>
      <c r="AA39" s="92">
        <v>67.806299999999993</v>
      </c>
      <c r="AB39" s="92">
        <v>39.982999999999997</v>
      </c>
      <c r="AC39" s="92">
        <v>22</v>
      </c>
      <c r="AD39" s="92">
        <v>15.23</v>
      </c>
      <c r="AE39" s="92"/>
      <c r="AF39" s="92"/>
      <c r="AG39" s="92"/>
      <c r="AH39" s="95">
        <v>2.4220000000000002</v>
      </c>
      <c r="AI39" s="75">
        <f t="shared" si="1"/>
        <v>2107.5572999999999</v>
      </c>
      <c r="AJ39" s="124">
        <v>2748.7083567436471</v>
      </c>
    </row>
    <row r="40" spans="2:36" x14ac:dyDescent="0.25">
      <c r="B40" s="69">
        <v>1982</v>
      </c>
      <c r="C40" s="98">
        <v>332.9</v>
      </c>
      <c r="D40" s="98"/>
      <c r="E40" s="98">
        <v>273</v>
      </c>
      <c r="F40" s="98">
        <v>42.08</v>
      </c>
      <c r="G40" s="99">
        <v>60.146450000000002</v>
      </c>
      <c r="H40" s="98"/>
      <c r="I40" s="100">
        <v>52</v>
      </c>
      <c r="J40" s="98"/>
      <c r="K40" s="98">
        <v>613.06000000000006</v>
      </c>
      <c r="L40" s="98"/>
      <c r="M40" s="98"/>
      <c r="N40" s="98"/>
      <c r="O40" s="98"/>
      <c r="P40" s="71">
        <v>0.04</v>
      </c>
      <c r="Q40" s="75">
        <f t="shared" si="0"/>
        <v>1373.2264500000001</v>
      </c>
      <c r="R40" s="124">
        <v>2579.614204</v>
      </c>
      <c r="T40" s="91">
        <v>2002</v>
      </c>
      <c r="U40" s="92">
        <v>810.51199999999994</v>
      </c>
      <c r="V40" s="92">
        <v>133</v>
      </c>
      <c r="W40" s="92">
        <v>458.85</v>
      </c>
      <c r="X40" s="92">
        <v>56</v>
      </c>
      <c r="Y40" s="92">
        <v>225.6</v>
      </c>
      <c r="Z40" s="93">
        <v>146</v>
      </c>
      <c r="AA40" s="92">
        <v>11.64</v>
      </c>
      <c r="AB40" s="92">
        <v>38.301000000000002</v>
      </c>
      <c r="AC40" s="92">
        <v>208</v>
      </c>
      <c r="AD40" s="92">
        <v>15.06</v>
      </c>
      <c r="AE40" s="92"/>
      <c r="AF40" s="92"/>
      <c r="AG40" s="92"/>
      <c r="AH40" s="95">
        <v>0.36399999999999999</v>
      </c>
      <c r="AI40" s="75">
        <f t="shared" si="1"/>
        <v>2103.3270000000002</v>
      </c>
      <c r="AJ40" s="124">
        <v>2555.3707401559413</v>
      </c>
    </row>
    <row r="41" spans="2:36" x14ac:dyDescent="0.25">
      <c r="B41" s="69">
        <v>1983</v>
      </c>
      <c r="C41" s="98">
        <v>600.48599999999999</v>
      </c>
      <c r="D41" s="98"/>
      <c r="E41" s="98">
        <v>159</v>
      </c>
      <c r="F41" s="98">
        <v>42.19</v>
      </c>
      <c r="G41" s="99">
        <v>82.618750000000006</v>
      </c>
      <c r="H41" s="98"/>
      <c r="I41" s="100">
        <v>59</v>
      </c>
      <c r="J41" s="98"/>
      <c r="K41" s="98">
        <v>368.1</v>
      </c>
      <c r="L41" s="98"/>
      <c r="M41" s="98"/>
      <c r="N41" s="98"/>
      <c r="O41" s="98"/>
      <c r="P41" s="98"/>
      <c r="Q41" s="75">
        <f t="shared" si="0"/>
        <v>1311.3947499999999</v>
      </c>
      <c r="R41" s="124">
        <v>2293.2818000000002</v>
      </c>
      <c r="T41" s="91">
        <v>2003</v>
      </c>
      <c r="U41" s="92">
        <v>1158.2280000000001</v>
      </c>
      <c r="V41" s="92">
        <v>118</v>
      </c>
      <c r="W41" s="92">
        <v>374.71</v>
      </c>
      <c r="X41" s="92">
        <v>624.61000000000013</v>
      </c>
      <c r="Y41" s="92">
        <v>282.50500000000005</v>
      </c>
      <c r="Z41" s="93">
        <v>83</v>
      </c>
      <c r="AA41" s="92">
        <v>115.44409999999999</v>
      </c>
      <c r="AB41" s="92">
        <v>187.76</v>
      </c>
      <c r="AC41" s="92">
        <v>260</v>
      </c>
      <c r="AD41" s="92">
        <v>30.26</v>
      </c>
      <c r="AE41" s="92"/>
      <c r="AF41" s="92"/>
      <c r="AG41" s="92"/>
      <c r="AH41" s="95">
        <v>1.1420000000000001</v>
      </c>
      <c r="AI41" s="75">
        <f t="shared" si="1"/>
        <v>3235.6591000000008</v>
      </c>
      <c r="AJ41" s="124">
        <v>2923.6348683176125</v>
      </c>
    </row>
    <row r="42" spans="2:36" x14ac:dyDescent="0.25">
      <c r="B42" s="69">
        <v>1984</v>
      </c>
      <c r="C42" s="98">
        <v>389.16699999999997</v>
      </c>
      <c r="D42" s="98"/>
      <c r="E42" s="98">
        <v>141</v>
      </c>
      <c r="F42" s="98">
        <v>42.46</v>
      </c>
      <c r="G42" s="99">
        <v>52.215050000000005</v>
      </c>
      <c r="H42" s="98"/>
      <c r="I42" s="100">
        <v>70</v>
      </c>
      <c r="J42" s="98"/>
      <c r="K42" s="98">
        <v>929.03</v>
      </c>
      <c r="L42" s="98"/>
      <c r="M42" s="98"/>
      <c r="N42" s="98"/>
      <c r="O42" s="98"/>
      <c r="P42" s="98"/>
      <c r="Q42" s="75">
        <f t="shared" si="0"/>
        <v>1623.8720499999999</v>
      </c>
      <c r="R42" s="124">
        <v>2854.3682999999996</v>
      </c>
      <c r="T42" s="91">
        <v>2004</v>
      </c>
      <c r="U42" s="92">
        <v>702.702</v>
      </c>
      <c r="V42" s="92">
        <v>398</v>
      </c>
      <c r="W42" s="92">
        <v>509.02300000000002</v>
      </c>
      <c r="X42" s="92">
        <v>12.780999999999999</v>
      </c>
      <c r="Y42" s="92">
        <v>177.48370000000003</v>
      </c>
      <c r="Z42" s="93">
        <v>180</v>
      </c>
      <c r="AA42" s="92">
        <v>101.268</v>
      </c>
      <c r="AB42" s="92">
        <v>248.601</v>
      </c>
      <c r="AC42" s="76">
        <v>68.142571577395188</v>
      </c>
      <c r="AD42" s="92">
        <v>15</v>
      </c>
      <c r="AE42" s="92"/>
      <c r="AF42" s="92">
        <v>60.543999999999997</v>
      </c>
      <c r="AG42" s="92"/>
      <c r="AH42" s="95">
        <v>52.164000000000001</v>
      </c>
      <c r="AI42" s="75">
        <f t="shared" si="1"/>
        <v>2525.7092715773952</v>
      </c>
      <c r="AJ42" s="124">
        <v>2783.3260358199227</v>
      </c>
    </row>
    <row r="43" spans="2:36" x14ac:dyDescent="0.25">
      <c r="B43" s="69">
        <v>1985</v>
      </c>
      <c r="C43" s="98">
        <v>543.21100000000001</v>
      </c>
      <c r="D43" s="98"/>
      <c r="E43" s="98">
        <v>142</v>
      </c>
      <c r="F43" s="98">
        <v>51.9</v>
      </c>
      <c r="G43" s="99">
        <v>90.550150000000002</v>
      </c>
      <c r="H43" s="98"/>
      <c r="I43" s="100">
        <v>71</v>
      </c>
      <c r="J43" s="98"/>
      <c r="K43" s="98">
        <v>2947.47</v>
      </c>
      <c r="L43" s="98"/>
      <c r="M43" s="98"/>
      <c r="N43" s="98"/>
      <c r="O43" s="98"/>
      <c r="P43" s="71">
        <v>1.34</v>
      </c>
      <c r="Q43" s="75">
        <f t="shared" si="0"/>
        <v>3847.4711499999999</v>
      </c>
      <c r="R43" s="124">
        <v>4828.7994990000007</v>
      </c>
      <c r="T43" s="91">
        <v>2005</v>
      </c>
      <c r="U43" s="92">
        <v>583.60400000000004</v>
      </c>
      <c r="V43" s="92">
        <v>0</v>
      </c>
      <c r="W43" s="92">
        <v>1415.252</v>
      </c>
      <c r="X43" s="92">
        <v>241.78800000000001</v>
      </c>
      <c r="Y43" s="92">
        <v>425.839</v>
      </c>
      <c r="Z43" s="93">
        <v>226</v>
      </c>
      <c r="AA43" s="92">
        <v>110.545</v>
      </c>
      <c r="AB43" s="92">
        <v>145.72900000000001</v>
      </c>
      <c r="AC43" s="76">
        <v>45.182235191996611</v>
      </c>
      <c r="AD43" s="92">
        <v>14</v>
      </c>
      <c r="AE43" s="92">
        <v>38.405000000000001</v>
      </c>
      <c r="AF43" s="92">
        <v>1.4999999999999999E-2</v>
      </c>
      <c r="AG43" s="92"/>
      <c r="AH43" s="95">
        <v>12.55</v>
      </c>
      <c r="AI43" s="75">
        <f t="shared" si="1"/>
        <v>3258.9092351919971</v>
      </c>
      <c r="AJ43" s="124">
        <v>2994.6829153530748</v>
      </c>
    </row>
    <row r="44" spans="2:36" x14ac:dyDescent="0.25">
      <c r="B44" s="69">
        <v>1986</v>
      </c>
      <c r="C44" s="98">
        <v>2097.4299999999998</v>
      </c>
      <c r="D44" s="98"/>
      <c r="E44" s="98">
        <v>120</v>
      </c>
      <c r="F44" s="98">
        <v>63.969999999999992</v>
      </c>
      <c r="G44" s="99">
        <v>117.6491</v>
      </c>
      <c r="H44" s="98"/>
      <c r="I44" s="100">
        <v>78</v>
      </c>
      <c r="J44" s="98">
        <v>2.7806000000000002</v>
      </c>
      <c r="K44" s="98">
        <v>1295.94</v>
      </c>
      <c r="L44" s="98"/>
      <c r="M44" s="98"/>
      <c r="N44" s="98"/>
      <c r="O44" s="98"/>
      <c r="P44" s="71">
        <v>0.79</v>
      </c>
      <c r="Q44" s="75">
        <f t="shared" si="0"/>
        <v>3776.5596999999998</v>
      </c>
      <c r="R44" s="124">
        <v>3514.5029115262605</v>
      </c>
      <c r="T44" s="91">
        <v>2006</v>
      </c>
      <c r="U44" s="92">
        <v>664.36699999999996</v>
      </c>
      <c r="V44" s="92">
        <v>0</v>
      </c>
      <c r="W44" s="92">
        <v>1243.498</v>
      </c>
      <c r="X44" s="92">
        <v>493.32499999999999</v>
      </c>
      <c r="Y44" s="92">
        <v>183.22499999999999</v>
      </c>
      <c r="Z44" s="93">
        <v>166</v>
      </c>
      <c r="AA44" s="92">
        <v>86.152000000000001</v>
      </c>
      <c r="AB44" s="92">
        <v>68.051000000000002</v>
      </c>
      <c r="AC44" s="76">
        <v>69.666159681830635</v>
      </c>
      <c r="AD44" s="92">
        <v>16.09</v>
      </c>
      <c r="AE44" s="92"/>
      <c r="AF44" s="92">
        <v>26.937999999999999</v>
      </c>
      <c r="AG44" s="92"/>
      <c r="AH44" s="95">
        <v>18.375999999999998</v>
      </c>
      <c r="AI44" s="75">
        <f t="shared" si="1"/>
        <v>3035.6881596818312</v>
      </c>
      <c r="AJ44" s="124">
        <v>2833.080774916647</v>
      </c>
    </row>
    <row r="45" spans="2:36" x14ac:dyDescent="0.25">
      <c r="B45" s="69">
        <v>1987</v>
      </c>
      <c r="C45" s="98">
        <v>2404.529</v>
      </c>
      <c r="D45" s="98"/>
      <c r="E45" s="98">
        <v>218</v>
      </c>
      <c r="F45" s="98">
        <v>86.103000000000009</v>
      </c>
      <c r="G45" s="99">
        <v>126.9024</v>
      </c>
      <c r="H45" s="98"/>
      <c r="I45" s="100">
        <v>22</v>
      </c>
      <c r="J45" s="98">
        <v>1.7422</v>
      </c>
      <c r="K45" s="98">
        <v>461.72</v>
      </c>
      <c r="L45" s="98"/>
      <c r="M45" s="98"/>
      <c r="N45" s="98"/>
      <c r="O45" s="98"/>
      <c r="P45" s="71">
        <v>0.46</v>
      </c>
      <c r="Q45" s="75">
        <f t="shared" si="0"/>
        <v>3321.4566000000004</v>
      </c>
      <c r="R45" s="124">
        <v>2211.5601952661195</v>
      </c>
      <c r="T45" s="91">
        <v>2007</v>
      </c>
      <c r="U45" s="92">
        <v>653.86899999999991</v>
      </c>
      <c r="V45" s="92">
        <v>72.290000000000006</v>
      </c>
      <c r="W45" s="92">
        <v>1001.812</v>
      </c>
      <c r="X45" s="92">
        <v>374.73500000000001</v>
      </c>
      <c r="Y45" s="92">
        <v>152.23985900000002</v>
      </c>
      <c r="Z45" s="93">
        <v>147</v>
      </c>
      <c r="AA45" s="92">
        <v>223.93099999999998</v>
      </c>
      <c r="AB45" s="92">
        <v>35.631</v>
      </c>
      <c r="AC45" s="92">
        <v>76.8</v>
      </c>
      <c r="AD45" s="92">
        <v>25.07</v>
      </c>
      <c r="AE45" s="92">
        <v>17.440000000000001</v>
      </c>
      <c r="AF45" s="92">
        <v>4.6018120000000007</v>
      </c>
      <c r="AG45" s="92"/>
      <c r="AH45" s="95">
        <v>0.58899999999999997</v>
      </c>
      <c r="AI45" s="75">
        <f t="shared" si="1"/>
        <v>2786.0086710000005</v>
      </c>
      <c r="AJ45" s="124">
        <v>3568.3732714067723</v>
      </c>
    </row>
    <row r="46" spans="2:36" x14ac:dyDescent="0.25">
      <c r="B46" s="69">
        <v>1988</v>
      </c>
      <c r="C46" s="98">
        <v>1851.3140000000001</v>
      </c>
      <c r="D46" s="98"/>
      <c r="E46" s="98">
        <v>113</v>
      </c>
      <c r="F46" s="98">
        <v>105.90499999999999</v>
      </c>
      <c r="G46" s="99">
        <v>128.88525000000001</v>
      </c>
      <c r="H46" s="98"/>
      <c r="I46" s="100">
        <v>4</v>
      </c>
      <c r="J46" s="98">
        <v>2.5706000000000002</v>
      </c>
      <c r="K46" s="98">
        <v>794.61</v>
      </c>
      <c r="L46" s="98"/>
      <c r="M46" s="98"/>
      <c r="N46" s="98"/>
      <c r="O46" s="98"/>
      <c r="P46" s="71">
        <v>0.54</v>
      </c>
      <c r="Q46" s="75">
        <f t="shared" si="0"/>
        <v>3000.82485</v>
      </c>
      <c r="R46" s="124">
        <v>2716.4292040252153</v>
      </c>
      <c r="T46" s="91">
        <v>2008</v>
      </c>
      <c r="U46" s="92">
        <v>627.99800000000005</v>
      </c>
      <c r="V46" s="92">
        <v>115.157</v>
      </c>
      <c r="W46" s="92">
        <v>294.55</v>
      </c>
      <c r="X46" s="92">
        <v>321.02199999999999</v>
      </c>
      <c r="Y46" s="92">
        <v>120.68066300000001</v>
      </c>
      <c r="Z46" s="93">
        <v>172</v>
      </c>
      <c r="AA46" s="92">
        <v>136.58199999999999</v>
      </c>
      <c r="AB46" s="92">
        <v>41.024000000000001</v>
      </c>
      <c r="AC46" s="92">
        <v>5.5</v>
      </c>
      <c r="AD46" s="92"/>
      <c r="AE46" s="92">
        <v>1.6</v>
      </c>
      <c r="AF46" s="92">
        <v>78.167917000000003</v>
      </c>
      <c r="AG46" s="92"/>
      <c r="AH46" s="95">
        <v>14.792</v>
      </c>
      <c r="AI46" s="75">
        <f t="shared" si="1"/>
        <v>1929.07358</v>
      </c>
      <c r="AJ46" s="124">
        <v>2966.1444184983989</v>
      </c>
    </row>
    <row r="47" spans="2:36" x14ac:dyDescent="0.25">
      <c r="B47" s="69">
        <v>1989</v>
      </c>
      <c r="C47" s="98">
        <v>1078.5430000000001</v>
      </c>
      <c r="D47" s="98"/>
      <c r="E47" s="98">
        <v>207</v>
      </c>
      <c r="F47" s="98">
        <v>122.84</v>
      </c>
      <c r="G47" s="99">
        <v>144.74805000000001</v>
      </c>
      <c r="H47" s="98"/>
      <c r="I47" s="100">
        <v>2</v>
      </c>
      <c r="J47" s="98">
        <v>8.1190999999999995</v>
      </c>
      <c r="K47" s="98">
        <v>670.35</v>
      </c>
      <c r="L47" s="98"/>
      <c r="M47" s="98"/>
      <c r="N47" s="98"/>
      <c r="O47" s="98"/>
      <c r="P47" s="71">
        <v>10.73</v>
      </c>
      <c r="Q47" s="75">
        <f t="shared" si="0"/>
        <v>2244.3301499999998</v>
      </c>
      <c r="R47" s="124">
        <v>2705.6227192270508</v>
      </c>
      <c r="T47" s="91">
        <v>2009</v>
      </c>
      <c r="U47" s="92">
        <v>921.98099999999999</v>
      </c>
      <c r="V47" s="92">
        <v>108.276</v>
      </c>
      <c r="W47" s="92">
        <v>23.318000000000001</v>
      </c>
      <c r="X47" s="92">
        <v>502.26200000000006</v>
      </c>
      <c r="Y47" s="92">
        <v>91.785000000000011</v>
      </c>
      <c r="Z47" s="93">
        <v>141</v>
      </c>
      <c r="AA47" s="92">
        <v>146.15699999999998</v>
      </c>
      <c r="AB47" s="92">
        <v>105.66800000000001</v>
      </c>
      <c r="AC47" s="92">
        <v>24</v>
      </c>
      <c r="AD47" s="92"/>
      <c r="AE47" s="92"/>
      <c r="AF47" s="92">
        <v>6.7510000000000003</v>
      </c>
      <c r="AG47" s="92"/>
      <c r="AH47" s="95">
        <v>15.709</v>
      </c>
      <c r="AI47" s="75">
        <f t="shared" si="1"/>
        <v>2086.9070000000002</v>
      </c>
      <c r="AJ47" s="124">
        <v>3133.1644052839988</v>
      </c>
    </row>
    <row r="48" spans="2:36" x14ac:dyDescent="0.25">
      <c r="B48" s="69">
        <v>1990</v>
      </c>
      <c r="C48" s="98">
        <v>1537.211</v>
      </c>
      <c r="D48" s="98">
        <v>193</v>
      </c>
      <c r="E48" s="98">
        <v>221</v>
      </c>
      <c r="F48" s="98">
        <v>92.997</v>
      </c>
      <c r="G48" s="99">
        <v>15.8628</v>
      </c>
      <c r="H48" s="98"/>
      <c r="I48" s="100">
        <v>9</v>
      </c>
      <c r="J48" s="98">
        <v>1.4618</v>
      </c>
      <c r="K48" s="98">
        <v>268.43</v>
      </c>
      <c r="L48" s="98"/>
      <c r="M48" s="98"/>
      <c r="N48" s="98"/>
      <c r="O48" s="98"/>
      <c r="P48" s="71">
        <v>9.08</v>
      </c>
      <c r="Q48" s="75">
        <f t="shared" si="0"/>
        <v>2348.0425999999998</v>
      </c>
      <c r="R48" s="124">
        <v>2702.3188555677275</v>
      </c>
      <c r="T48" s="91">
        <v>2010</v>
      </c>
      <c r="U48" s="92">
        <v>1192.1590000000001</v>
      </c>
      <c r="V48" s="92">
        <v>103.24199999999999</v>
      </c>
      <c r="W48" s="92">
        <v>306.43799999999999</v>
      </c>
      <c r="X48" s="92">
        <v>336.28829999999999</v>
      </c>
      <c r="Y48" s="92">
        <v>127.70123183142707</v>
      </c>
      <c r="Z48" s="93">
        <v>221</v>
      </c>
      <c r="AA48" s="92">
        <v>151.62899999999999</v>
      </c>
      <c r="AB48" s="92">
        <v>22.611000000000001</v>
      </c>
      <c r="AC48" s="92">
        <v>32.494</v>
      </c>
      <c r="AD48" s="92"/>
      <c r="AE48" s="92">
        <v>31.768000000000001</v>
      </c>
      <c r="AF48" s="92"/>
      <c r="AG48" s="92"/>
      <c r="AH48" s="95">
        <v>37.673000000000002</v>
      </c>
      <c r="AI48" s="75">
        <f t="shared" si="1"/>
        <v>2563.0035318314267</v>
      </c>
      <c r="AJ48" s="124">
        <v>3393.7284961184673</v>
      </c>
    </row>
    <row r="49" spans="2:36" x14ac:dyDescent="0.25">
      <c r="B49" s="69">
        <v>1991</v>
      </c>
      <c r="C49" s="98">
        <v>1390.079</v>
      </c>
      <c r="D49" s="98">
        <v>314</v>
      </c>
      <c r="E49" s="98">
        <v>157</v>
      </c>
      <c r="F49" s="98">
        <v>112.703</v>
      </c>
      <c r="G49" s="99">
        <v>60.807400000000001</v>
      </c>
      <c r="H49" s="98"/>
      <c r="I49" s="100">
        <v>39</v>
      </c>
      <c r="J49" s="98">
        <v>2.1246</v>
      </c>
      <c r="K49" s="98">
        <v>209.98</v>
      </c>
      <c r="L49" s="98"/>
      <c r="M49" s="98"/>
      <c r="N49" s="98"/>
      <c r="O49" s="98"/>
      <c r="P49" s="71">
        <v>6.7824999999999998</v>
      </c>
      <c r="Q49" s="75">
        <f t="shared" si="0"/>
        <v>2292.4764999999998</v>
      </c>
      <c r="R49" s="124">
        <v>2747.0841939617999</v>
      </c>
      <c r="T49" s="91">
        <v>2011</v>
      </c>
      <c r="U49" s="92">
        <v>1535.4289999999999</v>
      </c>
      <c r="V49" s="92">
        <v>132.30199999999999</v>
      </c>
      <c r="W49" s="92">
        <v>328.46499999999997</v>
      </c>
      <c r="X49" s="92">
        <v>409.15800000000002</v>
      </c>
      <c r="Y49" s="92">
        <v>178.61023710585451</v>
      </c>
      <c r="Z49" s="93">
        <v>280</v>
      </c>
      <c r="AA49" s="92">
        <v>217.86600000000001</v>
      </c>
      <c r="AB49" s="92">
        <v>76.007000000000005</v>
      </c>
      <c r="AC49" s="92">
        <v>29.206</v>
      </c>
      <c r="AD49" s="92"/>
      <c r="AE49" s="92">
        <v>59.021999999999998</v>
      </c>
      <c r="AF49" s="92">
        <v>6.5628359999999999</v>
      </c>
      <c r="AG49" s="92">
        <v>13.420999999999999</v>
      </c>
      <c r="AH49" s="95">
        <v>68.306999999999988</v>
      </c>
      <c r="AI49" s="75">
        <f t="shared" si="1"/>
        <v>3334.3560731058542</v>
      </c>
      <c r="AJ49" s="124">
        <v>3892.5153157496552</v>
      </c>
    </row>
    <row r="50" spans="2:36" x14ac:dyDescent="0.25">
      <c r="B50" s="69">
        <v>1992</v>
      </c>
      <c r="C50" s="98">
        <v>2145.4369999999999</v>
      </c>
      <c r="D50" s="98">
        <v>220</v>
      </c>
      <c r="E50" s="98">
        <v>318</v>
      </c>
      <c r="F50" s="98">
        <v>160.80000000000001</v>
      </c>
      <c r="G50" s="99">
        <v>27.098950000000002</v>
      </c>
      <c r="H50" s="98"/>
      <c r="I50" s="100">
        <v>16</v>
      </c>
      <c r="J50" s="98">
        <v>0.66549999999999998</v>
      </c>
      <c r="K50" s="98">
        <v>250.31</v>
      </c>
      <c r="L50" s="98"/>
      <c r="M50" s="98"/>
      <c r="N50" s="98"/>
      <c r="O50" s="98"/>
      <c r="P50" s="71">
        <v>7.6050000000000004</v>
      </c>
      <c r="Q50" s="75">
        <f t="shared" si="0"/>
        <v>3145.9164500000002</v>
      </c>
      <c r="R50" s="124">
        <v>2820.8333684362697</v>
      </c>
      <c r="T50" s="91">
        <v>2012</v>
      </c>
      <c r="U50" s="92">
        <v>1207.143</v>
      </c>
      <c r="V50" s="92">
        <v>290.96000000000004</v>
      </c>
      <c r="W50" s="92">
        <v>554.34199999999998</v>
      </c>
      <c r="X50" s="92">
        <v>175.93</v>
      </c>
      <c r="Y50" s="92">
        <v>192.85318000000001</v>
      </c>
      <c r="Z50" s="93">
        <v>218</v>
      </c>
      <c r="AA50" s="92">
        <v>107.572</v>
      </c>
      <c r="AB50" s="92">
        <v>36.122999999999998</v>
      </c>
      <c r="AC50" s="92">
        <v>8.0709999999999997</v>
      </c>
      <c r="AD50" s="92">
        <v>19.223800000000001</v>
      </c>
      <c r="AE50" s="92">
        <v>77.885000000000005</v>
      </c>
      <c r="AF50" s="92">
        <v>2.1659999999999999</v>
      </c>
      <c r="AG50" s="92">
        <v>34.274999999999999</v>
      </c>
      <c r="AH50" s="95">
        <v>40.886340000000004</v>
      </c>
      <c r="AI50" s="75">
        <f t="shared" si="1"/>
        <v>2965.4303200000008</v>
      </c>
      <c r="AJ50" s="124">
        <v>2986.3405107819012</v>
      </c>
    </row>
    <row r="51" spans="2:36" x14ac:dyDescent="0.25">
      <c r="B51" s="69">
        <v>1993</v>
      </c>
      <c r="C51" s="98">
        <v>1964.0700000000002</v>
      </c>
      <c r="D51" s="98">
        <v>796</v>
      </c>
      <c r="E51" s="98">
        <v>425</v>
      </c>
      <c r="F51" s="98">
        <v>301.88</v>
      </c>
      <c r="G51" s="99">
        <v>17.845650000000003</v>
      </c>
      <c r="H51" s="98"/>
      <c r="I51" s="100">
        <v>9</v>
      </c>
      <c r="J51" s="98">
        <v>0.58189999999999997</v>
      </c>
      <c r="K51" s="98">
        <v>666.74</v>
      </c>
      <c r="L51" s="98"/>
      <c r="M51" s="98"/>
      <c r="N51" s="98"/>
      <c r="O51" s="98"/>
      <c r="P51" s="71">
        <v>4.0564</v>
      </c>
      <c r="Q51" s="75">
        <f t="shared" si="0"/>
        <v>4185.1739500000012</v>
      </c>
      <c r="R51" s="124">
        <v>3421.0861698909584</v>
      </c>
      <c r="T51" s="91">
        <v>2013</v>
      </c>
      <c r="U51" s="92">
        <v>1082.6379999999999</v>
      </c>
      <c r="V51" s="92">
        <v>114.027</v>
      </c>
      <c r="W51" s="92">
        <v>8.5</v>
      </c>
      <c r="X51" s="92">
        <v>132.185</v>
      </c>
      <c r="Y51" s="92">
        <v>80.162599999999998</v>
      </c>
      <c r="Z51" s="93">
        <v>129</v>
      </c>
      <c r="AA51" s="92">
        <v>249.96</v>
      </c>
      <c r="AB51" s="92">
        <v>1.4783999999999999</v>
      </c>
      <c r="AC51" s="92">
        <v>8.7360000000000007</v>
      </c>
      <c r="AD51" s="92">
        <v>33.335000000000001</v>
      </c>
      <c r="AE51" s="92">
        <v>88.245000000000005</v>
      </c>
      <c r="AF51" s="92"/>
      <c r="AG51" s="92">
        <v>23.074999999999999</v>
      </c>
      <c r="AH51" s="95">
        <v>20.8642</v>
      </c>
      <c r="AI51" s="75">
        <f t="shared" si="1"/>
        <v>1972.2062000000003</v>
      </c>
      <c r="AJ51" s="124">
        <v>2434.2336499671205</v>
      </c>
    </row>
    <row r="52" spans="2:36" x14ac:dyDescent="0.25">
      <c r="B52" s="69">
        <v>1994</v>
      </c>
      <c r="C52" s="98">
        <v>2163.5589999999997</v>
      </c>
      <c r="D52" s="98">
        <v>649</v>
      </c>
      <c r="E52" s="98">
        <v>214</v>
      </c>
      <c r="F52" s="98">
        <v>331.82</v>
      </c>
      <c r="G52" s="99">
        <v>4.6266500000000006</v>
      </c>
      <c r="H52" s="98"/>
      <c r="I52" s="100">
        <v>29</v>
      </c>
      <c r="J52" s="98">
        <v>3.4868999999999999</v>
      </c>
      <c r="K52" s="98">
        <v>316.95999999999998</v>
      </c>
      <c r="L52" s="98">
        <v>0.82000000000000006</v>
      </c>
      <c r="M52" s="98"/>
      <c r="N52" s="98"/>
      <c r="O52" s="98"/>
      <c r="P52" s="71">
        <v>17.349299999999999</v>
      </c>
      <c r="Q52" s="75">
        <f t="shared" si="0"/>
        <v>3730.62185</v>
      </c>
      <c r="R52" s="124">
        <v>3494.5593110782602</v>
      </c>
      <c r="T52" s="91">
        <v>2014</v>
      </c>
      <c r="U52" s="92">
        <v>1076.8990000000001</v>
      </c>
      <c r="V52" s="92">
        <v>180.85300000000001</v>
      </c>
      <c r="W52" s="92">
        <v>949.8</v>
      </c>
      <c r="X52" s="92">
        <v>126.59799999999998</v>
      </c>
      <c r="Y52" s="92">
        <v>256.05279999999999</v>
      </c>
      <c r="Z52" s="93">
        <v>202</v>
      </c>
      <c r="AA52" s="92">
        <v>476.21100000000001</v>
      </c>
      <c r="AB52" s="92"/>
      <c r="AC52" s="92">
        <v>9.4209999999999994</v>
      </c>
      <c r="AD52" s="92">
        <v>18.861419999999999</v>
      </c>
      <c r="AE52" s="92">
        <v>1.4550000000000001</v>
      </c>
      <c r="AF52" s="92"/>
      <c r="AG52" s="92"/>
      <c r="AH52" s="95">
        <v>15.928999999999998</v>
      </c>
      <c r="AI52" s="75">
        <f t="shared" si="1"/>
        <v>3314.0802200000003</v>
      </c>
      <c r="AJ52" s="124">
        <v>2805.9012709868398</v>
      </c>
    </row>
    <row r="53" spans="2:36" x14ac:dyDescent="0.25">
      <c r="B53" s="69">
        <v>1995</v>
      </c>
      <c r="C53" s="98">
        <v>2209.4809999999998</v>
      </c>
      <c r="D53" s="98">
        <v>657</v>
      </c>
      <c r="E53" s="98">
        <v>592</v>
      </c>
      <c r="F53" s="98">
        <v>309.73</v>
      </c>
      <c r="G53" s="99">
        <v>18.506600000000002</v>
      </c>
      <c r="H53" s="98">
        <v>93.391000000000005</v>
      </c>
      <c r="I53" s="100">
        <v>32</v>
      </c>
      <c r="J53" s="98">
        <v>4.2241999999999997</v>
      </c>
      <c r="K53" s="98">
        <v>1421.5</v>
      </c>
      <c r="L53" s="98"/>
      <c r="M53" s="98"/>
      <c r="N53" s="98"/>
      <c r="O53" s="98"/>
      <c r="P53" s="71">
        <v>38.920700000000011</v>
      </c>
      <c r="Q53" s="75">
        <f t="shared" si="0"/>
        <v>5376.7534999999998</v>
      </c>
      <c r="R53" s="124">
        <v>4759.0768797460623</v>
      </c>
      <c r="T53" s="91">
        <v>2015</v>
      </c>
      <c r="U53" s="92">
        <v>861.57500000000005</v>
      </c>
      <c r="V53" s="92">
        <v>109.84699999999999</v>
      </c>
      <c r="W53" s="92">
        <v>660.9</v>
      </c>
      <c r="X53" s="92">
        <v>157.565</v>
      </c>
      <c r="Y53" s="92">
        <v>120.05</v>
      </c>
      <c r="Z53" s="92">
        <v>113.93900000000002</v>
      </c>
      <c r="AA53" s="92">
        <v>613.05100000000004</v>
      </c>
      <c r="AB53" s="92"/>
      <c r="AC53" s="92">
        <v>4.585</v>
      </c>
      <c r="AD53" s="92">
        <v>11.02802</v>
      </c>
      <c r="AE53" s="92">
        <v>15.214</v>
      </c>
      <c r="AF53" s="92">
        <v>2.95</v>
      </c>
      <c r="AG53" s="92">
        <v>10.637499999999999</v>
      </c>
      <c r="AH53" s="95">
        <v>4.8260000000000005</v>
      </c>
      <c r="AI53" s="75">
        <f t="shared" si="1"/>
        <v>2686.16752</v>
      </c>
      <c r="AJ53" s="124">
        <v>2548.2849177900002</v>
      </c>
    </row>
    <row r="54" spans="2:36" x14ac:dyDescent="0.25">
      <c r="B54" s="69">
        <v>1996</v>
      </c>
      <c r="C54" s="98">
        <v>3293.768</v>
      </c>
      <c r="D54" s="98">
        <v>691</v>
      </c>
      <c r="E54" s="98">
        <v>790</v>
      </c>
      <c r="F54" s="98">
        <v>234.1</v>
      </c>
      <c r="G54" s="99">
        <v>23.13325</v>
      </c>
      <c r="H54" s="98">
        <v>56.073999999999998</v>
      </c>
      <c r="I54" s="100">
        <v>45</v>
      </c>
      <c r="J54" s="98">
        <v>11.708500000000001</v>
      </c>
      <c r="K54" s="98">
        <v>231.89</v>
      </c>
      <c r="L54" s="98">
        <v>0.22</v>
      </c>
      <c r="M54" s="98"/>
      <c r="N54" s="98"/>
      <c r="O54" s="98"/>
      <c r="P54" s="71">
        <v>21.128900000000002</v>
      </c>
      <c r="Q54" s="75">
        <f t="shared" si="0"/>
        <v>5398.0226499999999</v>
      </c>
      <c r="R54" s="124">
        <v>3246.9625695077343</v>
      </c>
      <c r="T54" s="83" t="s">
        <v>46</v>
      </c>
      <c r="U54" s="94">
        <f>SUM(U9:U53)</f>
        <v>24988.287</v>
      </c>
      <c r="V54" s="94">
        <f t="shared" ref="V54:AG54" si="2">SUM(V9:V53)</f>
        <v>13836.953999999998</v>
      </c>
      <c r="W54" s="94">
        <f t="shared" si="2"/>
        <v>8130.6860000000006</v>
      </c>
      <c r="X54" s="94">
        <f t="shared" si="2"/>
        <v>5077.5473000000011</v>
      </c>
      <c r="Y54" s="94">
        <f t="shared" si="2"/>
        <v>5276.9895224041657</v>
      </c>
      <c r="Z54" s="94">
        <f t="shared" si="2"/>
        <v>4275.9390000000003</v>
      </c>
      <c r="AA54" s="94">
        <f t="shared" si="2"/>
        <v>3394.8424</v>
      </c>
      <c r="AB54" s="94">
        <f t="shared" si="2"/>
        <v>1993.3704000000005</v>
      </c>
      <c r="AC54" s="94">
        <f t="shared" si="2"/>
        <v>1526.1969664512224</v>
      </c>
      <c r="AD54" s="94">
        <f t="shared" si="2"/>
        <v>343.65823999999998</v>
      </c>
      <c r="AE54" s="94">
        <f t="shared" si="2"/>
        <v>331.03399999999999</v>
      </c>
      <c r="AF54" s="94">
        <f t="shared" si="2"/>
        <v>188.69656499999999</v>
      </c>
      <c r="AG54" s="94">
        <f t="shared" si="2"/>
        <v>81.408500000000004</v>
      </c>
      <c r="AH54" s="95">
        <v>412.74553999999995</v>
      </c>
      <c r="AI54" s="75">
        <f>SUM(U54:AH54)</f>
        <v>69858.35543385541</v>
      </c>
    </row>
    <row r="55" spans="2:36" x14ac:dyDescent="0.25">
      <c r="B55" s="69">
        <v>1997</v>
      </c>
      <c r="C55" s="98">
        <v>2415.5509999999999</v>
      </c>
      <c r="D55" s="98">
        <v>354</v>
      </c>
      <c r="E55" s="98">
        <v>258</v>
      </c>
      <c r="F55" s="98">
        <v>242.07999999999998</v>
      </c>
      <c r="G55" s="99">
        <v>157.96705</v>
      </c>
      <c r="H55" s="98">
        <v>99.01</v>
      </c>
      <c r="I55" s="100">
        <v>42</v>
      </c>
      <c r="J55" s="98">
        <v>3.3822999999999999</v>
      </c>
      <c r="K55" s="98">
        <v>163.62</v>
      </c>
      <c r="L55" s="98">
        <v>0.31</v>
      </c>
      <c r="M55" s="98"/>
      <c r="N55" s="98"/>
      <c r="O55" s="98"/>
      <c r="P55" s="71">
        <v>18.567399999999996</v>
      </c>
      <c r="Q55" s="75">
        <f t="shared" si="0"/>
        <v>3754.4877500000002</v>
      </c>
      <c r="R55" s="124">
        <v>5121.4891572321694</v>
      </c>
    </row>
    <row r="56" spans="2:36" x14ac:dyDescent="0.25">
      <c r="B56" s="69">
        <v>1998</v>
      </c>
      <c r="C56" s="98">
        <v>2223.0500000000002</v>
      </c>
      <c r="D56" s="98">
        <v>307</v>
      </c>
      <c r="E56" s="98">
        <v>892</v>
      </c>
      <c r="F56" s="98">
        <v>194.98000000000002</v>
      </c>
      <c r="G56" s="99" t="s">
        <v>45</v>
      </c>
      <c r="H56" s="98">
        <v>54.63</v>
      </c>
      <c r="I56" s="100">
        <v>47</v>
      </c>
      <c r="J56" s="98">
        <v>0.75860000000000005</v>
      </c>
      <c r="K56" s="98">
        <v>148.19</v>
      </c>
      <c r="L56" s="98">
        <v>0.24000000000000002</v>
      </c>
      <c r="M56" s="98"/>
      <c r="N56" s="98"/>
      <c r="O56" s="98"/>
      <c r="P56" s="71">
        <v>27.522199999999998</v>
      </c>
      <c r="Q56" s="75">
        <f t="shared" si="0"/>
        <v>3895.3708000000001</v>
      </c>
      <c r="R56" s="124">
        <v>4967.4967321294916</v>
      </c>
    </row>
    <row r="57" spans="2:36" x14ac:dyDescent="0.25">
      <c r="B57" s="69">
        <v>1999</v>
      </c>
      <c r="C57" s="98">
        <v>2050.8820000000001</v>
      </c>
      <c r="D57" s="98">
        <v>327.38900000000001</v>
      </c>
      <c r="E57" s="98">
        <v>120</v>
      </c>
      <c r="F57" s="98">
        <v>89.47</v>
      </c>
      <c r="G57" s="99">
        <v>23.13325</v>
      </c>
      <c r="H57" s="98">
        <v>53.834000000000003</v>
      </c>
      <c r="I57" s="100">
        <v>75</v>
      </c>
      <c r="J57" s="98">
        <v>1.9567000000000001</v>
      </c>
      <c r="K57" s="98">
        <v>69.03</v>
      </c>
      <c r="L57" s="98">
        <v>0.19</v>
      </c>
      <c r="M57" s="98"/>
      <c r="N57" s="98"/>
      <c r="O57" s="98"/>
      <c r="P57" s="71">
        <v>30.6295</v>
      </c>
      <c r="Q57" s="75">
        <f t="shared" si="0"/>
        <v>2841.5144500000001</v>
      </c>
      <c r="R57" s="124">
        <v>5071.032166371564</v>
      </c>
    </row>
    <row r="58" spans="2:36" x14ac:dyDescent="0.25">
      <c r="B58" s="69">
        <v>2000</v>
      </c>
      <c r="C58" s="98">
        <v>1560.654</v>
      </c>
      <c r="D58" s="98">
        <v>317.5</v>
      </c>
      <c r="E58" s="98">
        <v>138</v>
      </c>
      <c r="F58" s="98">
        <v>163.79999999999998</v>
      </c>
      <c r="G58" s="99">
        <v>25.116100000000003</v>
      </c>
      <c r="H58" s="98">
        <v>58.677999999999997</v>
      </c>
      <c r="I58" s="100">
        <v>56</v>
      </c>
      <c r="J58" s="98">
        <v>2.1911999999999998</v>
      </c>
      <c r="K58" s="98">
        <v>289.89</v>
      </c>
      <c r="L58" s="98">
        <v>0.57999999999999996</v>
      </c>
      <c r="M58" s="98"/>
      <c r="N58" s="98"/>
      <c r="O58" s="98">
        <v>0.2</v>
      </c>
      <c r="P58" s="71">
        <v>40.264499999999998</v>
      </c>
      <c r="Q58" s="75">
        <f t="shared" si="0"/>
        <v>2652.8738000000003</v>
      </c>
      <c r="R58" s="124">
        <v>5278.0777483539314</v>
      </c>
    </row>
    <row r="59" spans="2:36" x14ac:dyDescent="0.25">
      <c r="B59" s="69">
        <v>2001</v>
      </c>
      <c r="C59" s="98">
        <v>1684.47</v>
      </c>
      <c r="D59" s="98">
        <v>377.62599999999998</v>
      </c>
      <c r="E59" s="98">
        <v>105</v>
      </c>
      <c r="F59" s="98">
        <v>180.5</v>
      </c>
      <c r="G59" s="99">
        <v>174.49080000000001</v>
      </c>
      <c r="H59" s="98">
        <v>59.637999999999998</v>
      </c>
      <c r="I59" s="100">
        <v>47</v>
      </c>
      <c r="J59" s="98">
        <v>20.340299999999999</v>
      </c>
      <c r="K59" s="98">
        <v>214.17</v>
      </c>
      <c r="L59" s="98">
        <v>0.33</v>
      </c>
      <c r="M59" s="98"/>
      <c r="N59" s="98"/>
      <c r="O59" s="98"/>
      <c r="P59" s="71">
        <v>32.718800000000002</v>
      </c>
      <c r="Q59" s="75">
        <f t="shared" si="0"/>
        <v>2896.2838999999999</v>
      </c>
      <c r="R59" s="124">
        <v>5109.4295441566319</v>
      </c>
    </row>
    <row r="60" spans="2:36" x14ac:dyDescent="0.25">
      <c r="B60" s="69">
        <v>2002</v>
      </c>
      <c r="C60" s="98">
        <v>2046.5829999999999</v>
      </c>
      <c r="D60" s="98">
        <v>414.7</v>
      </c>
      <c r="E60" s="98">
        <v>438</v>
      </c>
      <c r="F60" s="98">
        <v>166.77600000000004</v>
      </c>
      <c r="G60" s="99">
        <v>101.78630000000001</v>
      </c>
      <c r="H60" s="98">
        <v>61.122999999999998</v>
      </c>
      <c r="I60" s="100">
        <v>53</v>
      </c>
      <c r="J60" s="98">
        <v>16.043299999999999</v>
      </c>
      <c r="K60" s="98">
        <v>247.87</v>
      </c>
      <c r="L60" s="98">
        <v>0.13700000000000001</v>
      </c>
      <c r="M60" s="98"/>
      <c r="N60" s="98"/>
      <c r="O60" s="98"/>
      <c r="P60" s="71">
        <v>24.313600000000001</v>
      </c>
      <c r="Q60" s="75">
        <f t="shared" si="0"/>
        <v>3570.3321999999998</v>
      </c>
      <c r="R60" s="124">
        <v>3979.275532626275</v>
      </c>
    </row>
    <row r="61" spans="2:36" x14ac:dyDescent="0.25">
      <c r="B61" s="69">
        <v>2003</v>
      </c>
      <c r="C61" s="98">
        <v>2067.596</v>
      </c>
      <c r="D61" s="98">
        <v>1248.6299999999999</v>
      </c>
      <c r="E61" s="98">
        <v>267</v>
      </c>
      <c r="F61" s="98">
        <v>141.42999999999998</v>
      </c>
      <c r="G61" s="99">
        <v>147.39185000000001</v>
      </c>
      <c r="H61" s="98">
        <v>63.362000000000002</v>
      </c>
      <c r="I61" s="100">
        <v>37</v>
      </c>
      <c r="J61" s="98">
        <v>21.9359</v>
      </c>
      <c r="K61" s="98"/>
      <c r="L61" s="98">
        <v>0.18</v>
      </c>
      <c r="M61" s="98"/>
      <c r="N61" s="98"/>
      <c r="O61" s="98"/>
      <c r="P61" s="71">
        <v>29.000899999999998</v>
      </c>
      <c r="Q61" s="75">
        <f t="shared" si="0"/>
        <v>4023.5266499999993</v>
      </c>
      <c r="R61" s="124">
        <v>4208.9558594138853</v>
      </c>
    </row>
    <row r="62" spans="2:36" x14ac:dyDescent="0.25">
      <c r="B62" s="69">
        <v>2004</v>
      </c>
      <c r="C62" s="98">
        <v>2087.6480000000001</v>
      </c>
      <c r="D62" s="98">
        <v>398.68399999999997</v>
      </c>
      <c r="E62" s="98">
        <v>572</v>
      </c>
      <c r="F62" s="98">
        <v>187.78399999999999</v>
      </c>
      <c r="G62" s="99">
        <v>168.54225</v>
      </c>
      <c r="H62" s="98">
        <v>69.393000000000001</v>
      </c>
      <c r="I62" s="100">
        <v>70</v>
      </c>
      <c r="J62" s="98">
        <v>57.95</v>
      </c>
      <c r="K62" s="98"/>
      <c r="L62" s="98">
        <v>332.56400000000002</v>
      </c>
      <c r="M62" s="98"/>
      <c r="N62" s="98"/>
      <c r="O62" s="98"/>
      <c r="P62" s="71">
        <v>100.14172000000001</v>
      </c>
      <c r="Q62" s="75">
        <f t="shared" si="0"/>
        <v>4044.7069700000002</v>
      </c>
      <c r="R62" s="124">
        <v>4246.8531447913465</v>
      </c>
    </row>
    <row r="63" spans="2:36" x14ac:dyDescent="0.25">
      <c r="B63" s="69">
        <v>2005</v>
      </c>
      <c r="C63" s="98">
        <v>1751.3009999999999</v>
      </c>
      <c r="D63" s="98">
        <v>1109.3229999999999</v>
      </c>
      <c r="E63" s="98">
        <v>0</v>
      </c>
      <c r="F63" s="98">
        <v>186.904</v>
      </c>
      <c r="G63" s="99">
        <v>214.80875</v>
      </c>
      <c r="H63" s="98">
        <v>73.861000000000004</v>
      </c>
      <c r="I63" s="100">
        <v>68</v>
      </c>
      <c r="J63" s="98">
        <v>19.626000000000001</v>
      </c>
      <c r="K63" s="98"/>
      <c r="L63" s="98">
        <v>282.11500000000001</v>
      </c>
      <c r="M63" s="98"/>
      <c r="N63" s="98"/>
      <c r="O63" s="98"/>
      <c r="P63" s="71">
        <v>36.606400000000008</v>
      </c>
      <c r="Q63" s="75">
        <f t="shared" si="0"/>
        <v>3742.5451500000004</v>
      </c>
      <c r="R63" s="124">
        <v>4809.9105998158884</v>
      </c>
    </row>
    <row r="64" spans="2:36" x14ac:dyDescent="0.25">
      <c r="B64" s="69">
        <v>2006</v>
      </c>
      <c r="C64" s="98">
        <v>1918.0170000000001</v>
      </c>
      <c r="D64" s="98">
        <v>950.55600000000004</v>
      </c>
      <c r="E64" s="98">
        <v>0</v>
      </c>
      <c r="F64" s="98">
        <v>129.28700000000001</v>
      </c>
      <c r="G64" s="99">
        <v>220.09635</v>
      </c>
      <c r="H64" s="98">
        <v>64.453000000000003</v>
      </c>
      <c r="I64" s="100">
        <v>40</v>
      </c>
      <c r="J64" s="98">
        <v>6.29</v>
      </c>
      <c r="K64" s="98"/>
      <c r="L64" s="98">
        <v>256.66199999999998</v>
      </c>
      <c r="M64" s="98"/>
      <c r="N64" s="98"/>
      <c r="O64" s="98"/>
      <c r="P64" s="71">
        <v>22.337199999999996</v>
      </c>
      <c r="Q64" s="75">
        <f t="shared" si="0"/>
        <v>3607.6985499999996</v>
      </c>
      <c r="R64" s="124">
        <v>4569.010726348065</v>
      </c>
    </row>
    <row r="65" spans="2:18" x14ac:dyDescent="0.25">
      <c r="B65" s="69">
        <v>2007</v>
      </c>
      <c r="C65" s="98">
        <v>1815.556</v>
      </c>
      <c r="D65" s="98">
        <v>1539.6686099999999</v>
      </c>
      <c r="E65" s="98">
        <v>82.415000000000006</v>
      </c>
      <c r="F65" s="98">
        <v>222.43499999999997</v>
      </c>
      <c r="G65" s="99">
        <v>151.35755</v>
      </c>
      <c r="H65" s="98">
        <v>63.688000000000002</v>
      </c>
      <c r="I65" s="100">
        <v>6</v>
      </c>
      <c r="J65" s="98">
        <v>11.103</v>
      </c>
      <c r="K65" s="98"/>
      <c r="L65" s="98">
        <v>158.29900000000001</v>
      </c>
      <c r="M65" s="98"/>
      <c r="N65" s="98"/>
      <c r="O65" s="98">
        <v>80.5</v>
      </c>
      <c r="P65" s="71">
        <v>84.525900000000007</v>
      </c>
      <c r="Q65" s="75">
        <f t="shared" si="0"/>
        <v>4215.5480600000001</v>
      </c>
      <c r="R65" s="124">
        <v>4371.837559691071</v>
      </c>
    </row>
    <row r="66" spans="2:18" x14ac:dyDescent="0.25">
      <c r="B66" s="69">
        <v>2008</v>
      </c>
      <c r="C66" s="98">
        <v>1895.2570000000001</v>
      </c>
      <c r="D66" s="98">
        <v>1033.0630000000001</v>
      </c>
      <c r="E66" s="98">
        <v>130.86099999999999</v>
      </c>
      <c r="F66" s="98">
        <v>196.53899999999999</v>
      </c>
      <c r="G66" s="99">
        <v>282.88660000000004</v>
      </c>
      <c r="H66" s="98">
        <v>38.937000000000005</v>
      </c>
      <c r="I66" s="100">
        <v>27</v>
      </c>
      <c r="J66" s="98">
        <v>1.802</v>
      </c>
      <c r="K66" s="98"/>
      <c r="L66" s="98">
        <v>156.036</v>
      </c>
      <c r="M66" s="98"/>
      <c r="N66" s="98"/>
      <c r="O66" s="98">
        <v>15.5</v>
      </c>
      <c r="P66" s="71">
        <v>74.108200000000025</v>
      </c>
      <c r="Q66" s="75">
        <f t="shared" si="0"/>
        <v>3851.9898000000003</v>
      </c>
      <c r="R66" s="124">
        <v>4578.8207801180552</v>
      </c>
    </row>
    <row r="67" spans="2:18" x14ac:dyDescent="0.25">
      <c r="B67" s="69">
        <v>2009</v>
      </c>
      <c r="C67" s="98">
        <v>2216.1709999999998</v>
      </c>
      <c r="D67" s="98">
        <v>1169.3111300000003</v>
      </c>
      <c r="E67" s="98">
        <v>98.38900000000001</v>
      </c>
      <c r="F67" s="98">
        <v>220.99400000000003</v>
      </c>
      <c r="G67" s="99">
        <v>475.88400000000001</v>
      </c>
      <c r="H67" s="98">
        <v>50.341999999999999</v>
      </c>
      <c r="I67" s="100">
        <v>89</v>
      </c>
      <c r="J67" s="98">
        <v>35.1</v>
      </c>
      <c r="K67" s="98"/>
      <c r="L67" s="98">
        <v>162.72800000000001</v>
      </c>
      <c r="M67" s="98">
        <v>23.077999999999999</v>
      </c>
      <c r="N67" s="98"/>
      <c r="O67" s="98">
        <v>19</v>
      </c>
      <c r="P67" s="71">
        <v>109.23298000000003</v>
      </c>
      <c r="Q67" s="75">
        <f t="shared" si="0"/>
        <v>4669.2301100000004</v>
      </c>
      <c r="R67" s="124">
        <v>4998.2349760893439</v>
      </c>
    </row>
    <row r="68" spans="2:18" x14ac:dyDescent="0.25">
      <c r="B68" s="69">
        <v>2010</v>
      </c>
      <c r="C68" s="98">
        <v>2090.7439999999997</v>
      </c>
      <c r="D68" s="98">
        <v>1431.93373</v>
      </c>
      <c r="E68" s="98">
        <v>116.29299999999999</v>
      </c>
      <c r="F68" s="98">
        <v>225.68199999999996</v>
      </c>
      <c r="G68" s="99">
        <v>636.49485000000004</v>
      </c>
      <c r="H68" s="98">
        <v>38.634999999999998</v>
      </c>
      <c r="I68" s="100">
        <v>14</v>
      </c>
      <c r="J68" s="98">
        <v>21.870999999999999</v>
      </c>
      <c r="K68" s="98"/>
      <c r="L68" s="98">
        <v>167.77799999999999</v>
      </c>
      <c r="M68" s="98">
        <v>28.094000000000001</v>
      </c>
      <c r="N68" s="98"/>
      <c r="O68" s="98">
        <v>28.602</v>
      </c>
      <c r="P68" s="71">
        <v>23.682370000000006</v>
      </c>
      <c r="Q68" s="75">
        <f t="shared" si="0"/>
        <v>4823.8099499999998</v>
      </c>
      <c r="R68" s="124">
        <v>5162.2835599251048</v>
      </c>
    </row>
    <row r="69" spans="2:18" x14ac:dyDescent="0.25">
      <c r="B69" s="69">
        <v>2011</v>
      </c>
      <c r="C69" s="98">
        <v>1667.1289999999999</v>
      </c>
      <c r="D69" s="98">
        <v>1044.6339000000003</v>
      </c>
      <c r="E69" s="98">
        <v>53.265999999999998</v>
      </c>
      <c r="F69" s="98">
        <v>212.86500000000001</v>
      </c>
      <c r="G69" s="98">
        <v>390</v>
      </c>
      <c r="H69" s="98">
        <v>37.177</v>
      </c>
      <c r="I69" s="100">
        <v>54</v>
      </c>
      <c r="J69" s="98">
        <v>17.965</v>
      </c>
      <c r="K69" s="98"/>
      <c r="L69" s="98">
        <v>178.182795</v>
      </c>
      <c r="M69" s="98">
        <v>69.176000000000002</v>
      </c>
      <c r="N69" s="98">
        <v>30</v>
      </c>
      <c r="O69" s="98">
        <v>17.675999999999998</v>
      </c>
      <c r="P69" s="71">
        <v>40.00950000000001</v>
      </c>
      <c r="Q69" s="75">
        <f t="shared" si="0"/>
        <v>3812.0801950000005</v>
      </c>
      <c r="R69" s="124">
        <v>5059.3667089366409</v>
      </c>
    </row>
    <row r="70" spans="2:18" x14ac:dyDescent="0.25">
      <c r="B70" s="69">
        <v>2012</v>
      </c>
      <c r="C70" s="98">
        <v>2307.9920000000002</v>
      </c>
      <c r="D70" s="98">
        <v>1022.5509999999999</v>
      </c>
      <c r="E70" s="98">
        <v>56.051000000000002</v>
      </c>
      <c r="F70" s="98">
        <v>198.44900000000001</v>
      </c>
      <c r="G70" s="98">
        <v>380</v>
      </c>
      <c r="H70" s="98">
        <v>27.606999999999999</v>
      </c>
      <c r="I70" s="100">
        <v>35</v>
      </c>
      <c r="J70" s="98">
        <v>24.268000000000001</v>
      </c>
      <c r="K70" s="98"/>
      <c r="L70" s="98">
        <v>229.47136807143099</v>
      </c>
      <c r="M70" s="98">
        <v>113.77200000000001</v>
      </c>
      <c r="N70" s="98">
        <v>26</v>
      </c>
      <c r="O70" s="98">
        <v>24.02</v>
      </c>
      <c r="P70" s="71">
        <v>52.708289999999998</v>
      </c>
      <c r="Q70" s="75">
        <f t="shared" si="0"/>
        <v>4497.8896580714309</v>
      </c>
      <c r="R70" s="124">
        <v>4994.7316781354539</v>
      </c>
    </row>
    <row r="71" spans="2:18" x14ac:dyDescent="0.25">
      <c r="B71" s="69">
        <v>2013</v>
      </c>
      <c r="C71" s="98">
        <v>1508.829</v>
      </c>
      <c r="D71" s="98">
        <v>817.43300000000011</v>
      </c>
      <c r="E71" s="98">
        <v>32.661999999999999</v>
      </c>
      <c r="F71" s="98">
        <v>190.03599999999997</v>
      </c>
      <c r="G71" s="98">
        <v>616</v>
      </c>
      <c r="H71" s="98">
        <v>34.654000000000003</v>
      </c>
      <c r="I71" s="100">
        <v>13</v>
      </c>
      <c r="J71" s="98">
        <v>5.8256319999999997</v>
      </c>
      <c r="K71" s="98"/>
      <c r="L71" s="98">
        <v>219.38697999999999</v>
      </c>
      <c r="M71" s="98">
        <v>98.527000000000001</v>
      </c>
      <c r="N71" s="98">
        <v>50.7</v>
      </c>
      <c r="O71" s="98">
        <v>11.461</v>
      </c>
      <c r="P71" s="71">
        <v>52.341250000000009</v>
      </c>
      <c r="Q71" s="75">
        <f t="shared" si="0"/>
        <v>3650.8558619999994</v>
      </c>
      <c r="R71" s="124">
        <v>4903.9601263628174</v>
      </c>
    </row>
    <row r="72" spans="2:18" x14ac:dyDescent="0.25">
      <c r="B72" s="69">
        <v>2014</v>
      </c>
      <c r="C72" s="98">
        <v>1480.932</v>
      </c>
      <c r="D72" s="98">
        <v>208.60139999999998</v>
      </c>
      <c r="E72" s="98">
        <v>69.230999999999995</v>
      </c>
      <c r="F72" s="98">
        <v>206.87799999999999</v>
      </c>
      <c r="G72" s="98">
        <v>580</v>
      </c>
      <c r="H72" s="98">
        <v>53.115899999999996</v>
      </c>
      <c r="I72" s="100">
        <v>16</v>
      </c>
      <c r="J72" s="98">
        <v>7.476</v>
      </c>
      <c r="K72" s="98"/>
      <c r="L72" s="98">
        <v>201.436949474551</v>
      </c>
      <c r="M72" s="98">
        <v>1.246</v>
      </c>
      <c r="N72" s="98">
        <v>44</v>
      </c>
      <c r="O72" s="98">
        <v>4.9969999999999999</v>
      </c>
      <c r="P72" s="71">
        <v>42.31324</v>
      </c>
      <c r="Q72" s="75">
        <f t="shared" si="0"/>
        <v>2916.2274894745506</v>
      </c>
      <c r="R72" s="124">
        <v>4526.8307693206771</v>
      </c>
    </row>
    <row r="73" spans="2:18" x14ac:dyDescent="0.25">
      <c r="B73" s="69">
        <v>2015</v>
      </c>
      <c r="C73" s="98">
        <v>1361.72</v>
      </c>
      <c r="D73" s="98">
        <v>213.25399999999996</v>
      </c>
      <c r="E73" s="98">
        <v>47.120000000000005</v>
      </c>
      <c r="F73" s="98">
        <v>341.08699999999999</v>
      </c>
      <c r="G73" s="98">
        <v>807</v>
      </c>
      <c r="H73" s="98">
        <v>84.192170000000004</v>
      </c>
      <c r="I73" s="98">
        <v>11.367999999999999</v>
      </c>
      <c r="J73" s="98">
        <v>7.4544329999999999</v>
      </c>
      <c r="K73" s="98"/>
      <c r="L73" s="98">
        <v>190.019228</v>
      </c>
      <c r="M73" s="98">
        <v>0.61299999999999999</v>
      </c>
      <c r="N73" s="98">
        <v>140</v>
      </c>
      <c r="O73" s="98">
        <v>1.52</v>
      </c>
      <c r="P73" s="71">
        <v>21.613440000000004</v>
      </c>
      <c r="Q73" s="75">
        <f t="shared" ref="Q73" si="3">SUM(C73:P73)</f>
        <v>3226.9612709999997</v>
      </c>
      <c r="R73" s="124">
        <v>4255.8944338290485</v>
      </c>
    </row>
    <row r="74" spans="2:18" x14ac:dyDescent="0.25">
      <c r="B74" s="63" t="s">
        <v>46</v>
      </c>
      <c r="C74" s="101">
        <f>SUM(C8:C73)</f>
        <v>65332.274999999994</v>
      </c>
      <c r="D74" s="101">
        <f t="shared" ref="D74:N74" si="4">SUM(D8:D73)</f>
        <v>17805.857770000006</v>
      </c>
      <c r="E74" s="101">
        <f t="shared" si="4"/>
        <v>9656.2880000000005</v>
      </c>
      <c r="F74" s="101">
        <f t="shared" si="4"/>
        <v>5799.4539999999979</v>
      </c>
      <c r="G74" s="101">
        <f t="shared" si="4"/>
        <v>6981.9296000000004</v>
      </c>
      <c r="H74" s="101">
        <f t="shared" si="4"/>
        <v>1235.7950699999999</v>
      </c>
      <c r="I74" s="101">
        <f t="shared" si="4"/>
        <v>1369.3679999999999</v>
      </c>
      <c r="J74" s="101">
        <f t="shared" si="4"/>
        <v>322.80526499999991</v>
      </c>
      <c r="K74" s="101">
        <f t="shared" si="4"/>
        <v>12963.82</v>
      </c>
      <c r="L74" s="101">
        <f t="shared" si="4"/>
        <v>2537.6863205459822</v>
      </c>
      <c r="M74" s="101">
        <f t="shared" si="4"/>
        <v>334.50599999999997</v>
      </c>
      <c r="N74" s="101">
        <f t="shared" si="4"/>
        <v>290.7</v>
      </c>
      <c r="O74" s="101">
        <f>SUM(O8:O73)</f>
        <v>203.47600000000003</v>
      </c>
      <c r="P74" s="101">
        <f>SUM(P8:P73)</f>
        <v>981.46019000000013</v>
      </c>
      <c r="Q74" s="70">
        <f>SUM(Q8:Q73)</f>
        <v>125815.42121554598</v>
      </c>
    </row>
    <row r="76" spans="2:18" x14ac:dyDescent="0.25">
      <c r="C76" s="140" t="s">
        <v>215</v>
      </c>
      <c r="D76" s="140"/>
      <c r="E76" s="140"/>
      <c r="F76" s="140"/>
      <c r="G76" s="140"/>
    </row>
    <row r="77" spans="2:18" x14ac:dyDescent="0.25">
      <c r="B77" s="59" t="s">
        <v>31</v>
      </c>
      <c r="C77" s="60" t="s">
        <v>32</v>
      </c>
      <c r="D77" s="61" t="s">
        <v>33</v>
      </c>
      <c r="E77" s="61" t="s">
        <v>34</v>
      </c>
      <c r="F77" s="61" t="s">
        <v>22</v>
      </c>
      <c r="G77" s="61" t="s">
        <v>35</v>
      </c>
      <c r="H77" s="61" t="s">
        <v>24</v>
      </c>
      <c r="I77" s="62" t="s">
        <v>36</v>
      </c>
      <c r="J77" s="61" t="s">
        <v>23</v>
      </c>
      <c r="K77" s="61" t="s">
        <v>22</v>
      </c>
      <c r="L77" s="61" t="s">
        <v>22</v>
      </c>
      <c r="M77" s="61" t="s">
        <v>37</v>
      </c>
      <c r="N77" s="61" t="s">
        <v>35</v>
      </c>
      <c r="O77" s="61" t="s">
        <v>38</v>
      </c>
      <c r="P77" s="61" t="s">
        <v>47</v>
      </c>
      <c r="Q77" s="61"/>
    </row>
    <row r="78" spans="2:18" x14ac:dyDescent="0.25">
      <c r="B78" s="63" t="s">
        <v>25</v>
      </c>
      <c r="C78" s="64" t="s">
        <v>26</v>
      </c>
      <c r="D78" s="65" t="s">
        <v>26</v>
      </c>
      <c r="E78" s="65" t="s">
        <v>26</v>
      </c>
      <c r="F78" s="65" t="s">
        <v>26</v>
      </c>
      <c r="G78" s="65" t="s">
        <v>26</v>
      </c>
      <c r="H78" s="65" t="s">
        <v>26</v>
      </c>
      <c r="I78" s="66" t="s">
        <v>26</v>
      </c>
      <c r="J78" s="65" t="s">
        <v>26</v>
      </c>
      <c r="K78" s="65" t="s">
        <v>41</v>
      </c>
      <c r="L78" s="65" t="s">
        <v>27</v>
      </c>
      <c r="M78" s="65" t="s">
        <v>26</v>
      </c>
      <c r="N78" s="65" t="s">
        <v>42</v>
      </c>
      <c r="O78" s="65" t="s">
        <v>26</v>
      </c>
      <c r="P78" s="65" t="s">
        <v>48</v>
      </c>
      <c r="Q78" s="121" t="s">
        <v>50</v>
      </c>
    </row>
    <row r="79" spans="2:18" x14ac:dyDescent="0.25">
      <c r="B79" s="68">
        <v>1950</v>
      </c>
      <c r="C79" s="96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75"/>
    </row>
    <row r="80" spans="2:18" x14ac:dyDescent="0.25">
      <c r="B80" s="69">
        <v>1951</v>
      </c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75"/>
    </row>
    <row r="81" spans="2:17" x14ac:dyDescent="0.25">
      <c r="B81" s="69">
        <v>1952</v>
      </c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75"/>
    </row>
    <row r="82" spans="2:17" x14ac:dyDescent="0.25">
      <c r="B82" s="69">
        <v>1953</v>
      </c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75"/>
    </row>
    <row r="83" spans="2:17" x14ac:dyDescent="0.25">
      <c r="B83" s="69">
        <v>1954</v>
      </c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75"/>
    </row>
    <row r="84" spans="2:17" x14ac:dyDescent="0.25">
      <c r="B84" s="69">
        <v>1955</v>
      </c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75"/>
    </row>
    <row r="85" spans="2:17" x14ac:dyDescent="0.25">
      <c r="B85" s="69">
        <v>1956</v>
      </c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75"/>
    </row>
    <row r="86" spans="2:17" x14ac:dyDescent="0.25">
      <c r="B86" s="69">
        <v>1957</v>
      </c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75"/>
    </row>
    <row r="87" spans="2:17" x14ac:dyDescent="0.25">
      <c r="B87" s="69">
        <v>1958</v>
      </c>
      <c r="C87" s="98"/>
      <c r="D87" s="98"/>
      <c r="E87" s="98"/>
      <c r="F87" s="98"/>
      <c r="G87" s="205"/>
      <c r="H87" s="205"/>
      <c r="I87" s="205"/>
      <c r="J87" s="205"/>
      <c r="K87" s="205"/>
      <c r="L87" s="205"/>
      <c r="M87" s="205"/>
      <c r="N87" s="205"/>
      <c r="O87" s="98"/>
      <c r="P87" s="98"/>
      <c r="Q87" s="75"/>
    </row>
    <row r="88" spans="2:17" x14ac:dyDescent="0.25">
      <c r="B88" s="69">
        <v>1959</v>
      </c>
      <c r="C88" s="98"/>
      <c r="D88" s="98"/>
      <c r="E88" s="98"/>
      <c r="F88" s="98"/>
      <c r="G88" s="205"/>
      <c r="H88" s="205"/>
      <c r="I88" s="205"/>
      <c r="J88" s="205"/>
      <c r="K88" s="205"/>
      <c r="L88" s="205"/>
      <c r="M88" s="205"/>
      <c r="N88" s="205"/>
      <c r="O88" s="98"/>
      <c r="P88" s="98"/>
      <c r="Q88" s="75"/>
    </row>
    <row r="89" spans="2:17" x14ac:dyDescent="0.25">
      <c r="B89" s="69">
        <v>1960</v>
      </c>
      <c r="C89" s="98"/>
      <c r="D89" s="98"/>
      <c r="E89" s="98"/>
      <c r="F89" s="98"/>
      <c r="G89" s="205"/>
      <c r="H89" s="205"/>
      <c r="I89" s="205"/>
      <c r="J89" s="205"/>
      <c r="K89" s="205"/>
      <c r="L89" s="205"/>
      <c r="M89" s="205"/>
      <c r="N89" s="205"/>
      <c r="O89" s="98"/>
      <c r="P89" s="98"/>
      <c r="Q89" s="75"/>
    </row>
    <row r="90" spans="2:17" x14ac:dyDescent="0.25">
      <c r="B90" s="69">
        <v>1961</v>
      </c>
      <c r="C90" s="98"/>
      <c r="D90" s="98"/>
      <c r="E90" s="98"/>
      <c r="F90" s="98"/>
      <c r="G90" s="205"/>
      <c r="H90" s="205"/>
      <c r="I90" s="205"/>
      <c r="J90" s="205"/>
      <c r="K90" s="205"/>
      <c r="L90" s="205"/>
      <c r="M90" s="205"/>
      <c r="N90" s="205"/>
      <c r="O90" s="98"/>
      <c r="P90" s="98"/>
      <c r="Q90" s="75"/>
    </row>
    <row r="91" spans="2:17" x14ac:dyDescent="0.25">
      <c r="B91" s="69">
        <v>1962</v>
      </c>
      <c r="C91" s="98"/>
      <c r="D91" s="98"/>
      <c r="E91" s="98"/>
      <c r="F91" s="98"/>
      <c r="G91" s="205"/>
      <c r="H91" s="205"/>
      <c r="I91" s="205"/>
      <c r="J91" s="205"/>
      <c r="K91" s="205"/>
      <c r="L91" s="205"/>
      <c r="M91" s="205"/>
      <c r="N91" s="205"/>
      <c r="O91" s="98"/>
      <c r="P91" s="98"/>
      <c r="Q91" s="75"/>
    </row>
    <row r="92" spans="2:17" x14ac:dyDescent="0.25">
      <c r="B92" s="69">
        <v>1963</v>
      </c>
      <c r="C92" s="98"/>
      <c r="D92" s="98"/>
      <c r="E92" s="98"/>
      <c r="F92" s="98"/>
      <c r="G92" s="205"/>
      <c r="H92" s="205"/>
      <c r="I92" s="205"/>
      <c r="J92" s="205"/>
      <c r="K92" s="205"/>
      <c r="L92" s="205"/>
      <c r="M92" s="205"/>
      <c r="N92" s="205"/>
      <c r="O92" s="98"/>
      <c r="P92" s="98"/>
      <c r="Q92" s="75"/>
    </row>
    <row r="93" spans="2:17" x14ac:dyDescent="0.25">
      <c r="B93" s="69">
        <v>1964</v>
      </c>
      <c r="C93" s="98"/>
      <c r="D93" s="98"/>
      <c r="E93" s="98"/>
      <c r="F93" s="98"/>
      <c r="G93" s="205"/>
      <c r="H93" s="205"/>
      <c r="I93" s="205"/>
      <c r="J93" s="205"/>
      <c r="K93" s="205"/>
      <c r="L93" s="205"/>
      <c r="M93" s="205"/>
      <c r="N93" s="205"/>
      <c r="O93" s="98"/>
      <c r="P93" s="98"/>
      <c r="Q93" s="75"/>
    </row>
    <row r="94" spans="2:17" x14ac:dyDescent="0.25">
      <c r="B94" s="69">
        <v>1965</v>
      </c>
      <c r="C94" s="98"/>
      <c r="D94" s="98"/>
      <c r="E94" s="98"/>
      <c r="F94" s="98"/>
      <c r="G94" s="205"/>
      <c r="H94" s="205"/>
      <c r="I94" s="205"/>
      <c r="J94" s="205"/>
      <c r="K94" s="205"/>
      <c r="L94" s="205"/>
      <c r="M94" s="205"/>
      <c r="N94" s="205"/>
      <c r="O94" s="98"/>
      <c r="P94" s="98"/>
      <c r="Q94" s="75"/>
    </row>
    <row r="95" spans="2:17" x14ac:dyDescent="0.25">
      <c r="B95" s="69">
        <v>1966</v>
      </c>
      <c r="C95" s="98"/>
      <c r="D95" s="98"/>
      <c r="E95" s="98"/>
      <c r="F95" s="98"/>
      <c r="G95" s="205"/>
      <c r="H95" s="205"/>
      <c r="I95" s="205"/>
      <c r="J95" s="205"/>
      <c r="K95" s="205"/>
      <c r="L95" s="205"/>
      <c r="M95" s="205"/>
      <c r="N95" s="205"/>
      <c r="O95" s="98"/>
      <c r="P95" s="98"/>
      <c r="Q95" s="75"/>
    </row>
    <row r="96" spans="2:17" x14ac:dyDescent="0.25">
      <c r="B96" s="69">
        <v>1967</v>
      </c>
      <c r="C96" s="98"/>
      <c r="D96" s="98"/>
      <c r="E96" s="98"/>
      <c r="F96" s="98"/>
      <c r="G96" s="205"/>
      <c r="H96" s="205"/>
      <c r="I96" s="205"/>
      <c r="J96" s="205"/>
      <c r="K96" s="205"/>
      <c r="L96" s="205"/>
      <c r="M96" s="205"/>
      <c r="N96" s="205"/>
      <c r="O96" s="98"/>
      <c r="P96" s="98"/>
      <c r="Q96" s="75"/>
    </row>
    <row r="97" spans="2:17" x14ac:dyDescent="0.25">
      <c r="B97" s="69">
        <v>1968</v>
      </c>
      <c r="C97" s="98"/>
      <c r="D97" s="98"/>
      <c r="E97" s="98"/>
      <c r="F97" s="98"/>
      <c r="G97" s="205"/>
      <c r="H97" s="205"/>
      <c r="I97" s="205"/>
      <c r="J97" s="205"/>
      <c r="K97" s="205"/>
      <c r="L97" s="205"/>
      <c r="M97" s="205"/>
      <c r="N97" s="205"/>
      <c r="O97" s="98"/>
      <c r="P97" s="98"/>
      <c r="Q97" s="75"/>
    </row>
    <row r="98" spans="2:17" x14ac:dyDescent="0.25">
      <c r="B98" s="69">
        <v>1969</v>
      </c>
      <c r="C98" s="98"/>
      <c r="D98" s="98"/>
      <c r="E98" s="98"/>
      <c r="F98" s="98"/>
      <c r="G98" s="205"/>
      <c r="H98" s="205"/>
      <c r="I98" s="205"/>
      <c r="J98" s="205"/>
      <c r="K98" s="205"/>
      <c r="L98" s="205"/>
      <c r="M98" s="205"/>
      <c r="N98" s="205"/>
      <c r="O98" s="98"/>
      <c r="P98" s="98"/>
      <c r="Q98" s="75"/>
    </row>
    <row r="99" spans="2:17" x14ac:dyDescent="0.25">
      <c r="B99" s="69">
        <v>1970</v>
      </c>
      <c r="C99" s="98"/>
      <c r="D99" s="98"/>
      <c r="E99" s="98"/>
      <c r="F99" s="98"/>
      <c r="G99" s="205"/>
      <c r="H99" s="205"/>
      <c r="I99" s="205"/>
      <c r="J99" s="205"/>
      <c r="K99" s="205"/>
      <c r="L99" s="205"/>
      <c r="M99" s="205"/>
      <c r="N99" s="205"/>
      <c r="O99" s="98"/>
      <c r="P99" s="98"/>
      <c r="Q99" s="75"/>
    </row>
    <row r="100" spans="2:17" x14ac:dyDescent="0.25">
      <c r="B100" s="69">
        <v>1971</v>
      </c>
      <c r="C100" s="98">
        <v>0.88368000000000002</v>
      </c>
      <c r="D100" s="98"/>
      <c r="E100" s="98">
        <v>685.61096100000009</v>
      </c>
      <c r="F100" s="98"/>
      <c r="G100" s="205">
        <v>1.0290000000000001</v>
      </c>
      <c r="H100" s="205"/>
      <c r="I100" s="205">
        <v>147.27745200000001</v>
      </c>
      <c r="J100" s="205">
        <v>60.725532000000001</v>
      </c>
      <c r="K100" s="205"/>
      <c r="L100" s="205">
        <v>30.702000000000005</v>
      </c>
      <c r="M100" s="205"/>
      <c r="N100" s="205"/>
      <c r="O100" s="98"/>
      <c r="P100" s="98">
        <v>1431.5688302040003</v>
      </c>
      <c r="Q100" s="206">
        <f t="shared" ref="Q100:Q143" si="5">SUM(C100:P100)</f>
        <v>2357.7974552040005</v>
      </c>
    </row>
    <row r="101" spans="2:17" x14ac:dyDescent="0.25">
      <c r="B101" s="69">
        <v>1972</v>
      </c>
      <c r="C101" s="98">
        <v>0.83832000000000007</v>
      </c>
      <c r="D101" s="98"/>
      <c r="E101" s="98">
        <v>390.89106000000004</v>
      </c>
      <c r="F101" s="98"/>
      <c r="G101" s="205">
        <v>0.73499999999999999</v>
      </c>
      <c r="H101" s="205"/>
      <c r="I101" s="205">
        <v>151.60488000000001</v>
      </c>
      <c r="J101" s="205">
        <v>67.052999999999997</v>
      </c>
      <c r="K101" s="205"/>
      <c r="L101" s="205">
        <v>29.798999999999999</v>
      </c>
      <c r="M101" s="205"/>
      <c r="N101" s="205"/>
      <c r="O101" s="98"/>
      <c r="P101" s="98">
        <v>1578.0736046999996</v>
      </c>
      <c r="Q101" s="206">
        <f t="shared" si="5"/>
        <v>2218.9948646999997</v>
      </c>
    </row>
    <row r="102" spans="2:17" x14ac:dyDescent="0.25">
      <c r="B102" s="69">
        <v>1973</v>
      </c>
      <c r="C102" s="98">
        <v>1.00044</v>
      </c>
      <c r="D102" s="98"/>
      <c r="E102" s="98">
        <v>354.23381699999999</v>
      </c>
      <c r="F102" s="98">
        <v>2.1000000000000001E-2</v>
      </c>
      <c r="G102" s="205">
        <v>0.49</v>
      </c>
      <c r="H102" s="205"/>
      <c r="I102" s="205">
        <v>263.64032100000003</v>
      </c>
      <c r="J102" s="205">
        <v>48.938295000000004</v>
      </c>
      <c r="K102" s="205"/>
      <c r="L102" s="205">
        <v>17.493000000000002</v>
      </c>
      <c r="M102" s="205"/>
      <c r="N102" s="205"/>
      <c r="O102" s="98"/>
      <c r="P102" s="98">
        <v>1428.3742617600001</v>
      </c>
      <c r="Q102" s="206">
        <f t="shared" si="5"/>
        <v>2114.1911347600003</v>
      </c>
    </row>
    <row r="103" spans="2:17" x14ac:dyDescent="0.25">
      <c r="B103" s="69">
        <v>1974</v>
      </c>
      <c r="C103" s="98">
        <v>0.75516000000000005</v>
      </c>
      <c r="D103" s="98"/>
      <c r="E103" s="98">
        <v>553.22183700000005</v>
      </c>
      <c r="F103" s="98">
        <v>2.1000000000000001E-2</v>
      </c>
      <c r="G103" s="205">
        <v>0.58800000000000008</v>
      </c>
      <c r="H103" s="205">
        <v>9.8000000000000004E-2</v>
      </c>
      <c r="I103" s="205">
        <v>268.01355000000001</v>
      </c>
      <c r="J103" s="205">
        <v>32.18271</v>
      </c>
      <c r="K103" s="205"/>
      <c r="L103" s="205">
        <v>64.974000000000004</v>
      </c>
      <c r="M103" s="205"/>
      <c r="N103" s="205"/>
      <c r="O103" s="98"/>
      <c r="P103" s="98">
        <v>1339.6889989199999</v>
      </c>
      <c r="Q103" s="206">
        <f t="shared" si="5"/>
        <v>2259.5432559199999</v>
      </c>
    </row>
    <row r="104" spans="2:17" x14ac:dyDescent="0.25">
      <c r="B104" s="69">
        <v>1975</v>
      </c>
      <c r="C104" s="98">
        <v>0.97860000000000014</v>
      </c>
      <c r="D104" s="98"/>
      <c r="E104" s="98">
        <v>454.39048200000002</v>
      </c>
      <c r="F104" s="98">
        <v>0</v>
      </c>
      <c r="G104" s="205">
        <v>0.73499999999999999</v>
      </c>
      <c r="H104" s="205">
        <v>1.0290000000000001</v>
      </c>
      <c r="I104" s="205">
        <v>235.88709900000001</v>
      </c>
      <c r="J104" s="205">
        <v>19.047000000000001</v>
      </c>
      <c r="K104" s="205"/>
      <c r="L104" s="205">
        <v>29.778000000000002</v>
      </c>
      <c r="M104" s="205"/>
      <c r="N104" s="205"/>
      <c r="O104" s="98"/>
      <c r="P104" s="98">
        <v>1000.864863</v>
      </c>
      <c r="Q104" s="206">
        <f t="shared" si="5"/>
        <v>1742.7100440000002</v>
      </c>
    </row>
    <row r="105" spans="2:17" x14ac:dyDescent="0.25">
      <c r="B105" s="69">
        <v>1976</v>
      </c>
      <c r="C105" s="98">
        <v>0.7350000000000001</v>
      </c>
      <c r="D105" s="98"/>
      <c r="E105" s="98">
        <v>337.11843900000002</v>
      </c>
      <c r="F105" s="98">
        <v>8.4000000000000012E-3</v>
      </c>
      <c r="G105" s="205">
        <v>0.58800000000000008</v>
      </c>
      <c r="H105" s="205">
        <v>0.73499999999999999</v>
      </c>
      <c r="I105" s="205">
        <v>364.02594900000003</v>
      </c>
      <c r="J105" s="205">
        <v>21.399000000000001</v>
      </c>
      <c r="K105" s="205"/>
      <c r="L105" s="205">
        <v>18.542999999999999</v>
      </c>
      <c r="M105" s="205"/>
      <c r="N105" s="205"/>
      <c r="O105" s="98"/>
      <c r="P105" s="98">
        <v>1163.8996800000002</v>
      </c>
      <c r="Q105" s="206">
        <f t="shared" si="5"/>
        <v>1907.0524680000003</v>
      </c>
    </row>
    <row r="106" spans="2:17" x14ac:dyDescent="0.25">
      <c r="B106" s="69">
        <v>1977</v>
      </c>
      <c r="C106" s="98">
        <v>0.86436000000000002</v>
      </c>
      <c r="D106" s="98"/>
      <c r="E106" s="98">
        <v>273.36042299999997</v>
      </c>
      <c r="F106" s="98">
        <v>1.4387100000000002</v>
      </c>
      <c r="G106" s="205">
        <v>0.29400000000000004</v>
      </c>
      <c r="H106" s="205">
        <v>5.5369999999999999</v>
      </c>
      <c r="I106" s="205">
        <v>317.709</v>
      </c>
      <c r="J106" s="205">
        <v>34.314</v>
      </c>
      <c r="K106" s="205"/>
      <c r="L106" s="205">
        <v>21.840000000000003</v>
      </c>
      <c r="M106" s="205"/>
      <c r="N106" s="205"/>
      <c r="O106" s="98"/>
      <c r="P106" s="98">
        <v>1412.6122800000001</v>
      </c>
      <c r="Q106" s="206">
        <f t="shared" si="5"/>
        <v>2067.9697729999998</v>
      </c>
    </row>
    <row r="107" spans="2:17" x14ac:dyDescent="0.25">
      <c r="B107" s="69">
        <v>1978</v>
      </c>
      <c r="C107" s="98">
        <v>0.94584000000000001</v>
      </c>
      <c r="D107" s="98"/>
      <c r="E107" s="98">
        <v>246.618582</v>
      </c>
      <c r="F107" s="98">
        <v>2.9822099999999998</v>
      </c>
      <c r="G107" s="205">
        <v>0.53900000000000003</v>
      </c>
      <c r="H107" s="205">
        <v>113.38600000000001</v>
      </c>
      <c r="I107" s="205">
        <v>213.83638500000001</v>
      </c>
      <c r="J107" s="205">
        <v>46.851000000000006</v>
      </c>
      <c r="K107" s="205"/>
      <c r="L107" s="205">
        <v>20.559000000000005</v>
      </c>
      <c r="M107" s="205"/>
      <c r="N107" s="205"/>
      <c r="O107" s="98"/>
      <c r="P107" s="98">
        <v>1525.7152709999998</v>
      </c>
      <c r="Q107" s="206">
        <f t="shared" si="5"/>
        <v>2171.4332879999997</v>
      </c>
    </row>
    <row r="108" spans="2:17" x14ac:dyDescent="0.25">
      <c r="B108" s="69">
        <v>1979</v>
      </c>
      <c r="C108" s="98">
        <v>0.67452000000000001</v>
      </c>
      <c r="D108" s="98"/>
      <c r="E108" s="98">
        <v>261.39378299999998</v>
      </c>
      <c r="F108" s="98">
        <v>3.4860000000000002</v>
      </c>
      <c r="G108" s="205">
        <v>10.192</v>
      </c>
      <c r="H108" s="205">
        <v>145.53</v>
      </c>
      <c r="I108" s="205">
        <v>173.67701400000001</v>
      </c>
      <c r="J108" s="205">
        <v>49.224000000000004</v>
      </c>
      <c r="K108" s="205"/>
      <c r="L108" s="205">
        <v>20.937000000000001</v>
      </c>
      <c r="M108" s="205"/>
      <c r="N108" s="205"/>
      <c r="O108" s="98"/>
      <c r="P108" s="98">
        <v>1485.1207319999996</v>
      </c>
      <c r="Q108" s="206">
        <f t="shared" si="5"/>
        <v>2150.2350489999999</v>
      </c>
    </row>
    <row r="109" spans="2:17" x14ac:dyDescent="0.25">
      <c r="B109" s="69">
        <v>1980</v>
      </c>
      <c r="C109" s="98">
        <v>0.99456</v>
      </c>
      <c r="D109" s="98"/>
      <c r="E109" s="98">
        <v>386.26022399999999</v>
      </c>
      <c r="F109" s="98">
        <v>11.823</v>
      </c>
      <c r="G109" s="205">
        <v>6.6640000000000006</v>
      </c>
      <c r="H109" s="205">
        <v>87.906000000000006</v>
      </c>
      <c r="I109" s="205">
        <v>176.18886600000002</v>
      </c>
      <c r="J109" s="205">
        <v>38.724000000000004</v>
      </c>
      <c r="K109" s="205"/>
      <c r="L109" s="205">
        <v>20.748000000000001</v>
      </c>
      <c r="M109" s="205"/>
      <c r="N109" s="205"/>
      <c r="O109" s="98"/>
      <c r="P109" s="98">
        <v>1001.535165</v>
      </c>
      <c r="Q109" s="206">
        <f t="shared" si="5"/>
        <v>1730.8438150000002</v>
      </c>
    </row>
    <row r="110" spans="2:17" x14ac:dyDescent="0.25">
      <c r="B110" s="69">
        <v>1981</v>
      </c>
      <c r="C110" s="98">
        <v>1.0483200000000001</v>
      </c>
      <c r="D110" s="98"/>
      <c r="E110" s="98">
        <v>439.97011800000007</v>
      </c>
      <c r="F110" s="98">
        <v>26.607000000000003</v>
      </c>
      <c r="G110" s="205">
        <v>6.0760000000000005</v>
      </c>
      <c r="H110" s="205">
        <v>26.558</v>
      </c>
      <c r="I110" s="205">
        <v>162.078</v>
      </c>
      <c r="J110" s="205">
        <v>65.667000000000002</v>
      </c>
      <c r="K110" s="205"/>
      <c r="L110" s="205">
        <v>447.85289999999998</v>
      </c>
      <c r="M110" s="205"/>
      <c r="N110" s="205"/>
      <c r="O110" s="98"/>
      <c r="P110" s="98">
        <v>1133.8327739999997</v>
      </c>
      <c r="Q110" s="206">
        <f t="shared" si="5"/>
        <v>2309.6901120000002</v>
      </c>
    </row>
    <row r="111" spans="2:17" x14ac:dyDescent="0.25">
      <c r="B111" s="69">
        <v>1982</v>
      </c>
      <c r="C111" s="98">
        <v>1.1894400000000001</v>
      </c>
      <c r="D111" s="98"/>
      <c r="E111" s="98">
        <v>471.18579900000003</v>
      </c>
      <c r="F111" s="98">
        <v>28.543620000000001</v>
      </c>
      <c r="G111" s="205">
        <v>4.4590000000000005</v>
      </c>
      <c r="H111" s="205">
        <v>26.558</v>
      </c>
      <c r="I111" s="205">
        <v>244.06200000000001</v>
      </c>
      <c r="J111" s="205">
        <v>35.742000000000004</v>
      </c>
      <c r="K111" s="205"/>
      <c r="L111" s="205">
        <v>670.19680000000005</v>
      </c>
      <c r="M111" s="205"/>
      <c r="N111" s="205"/>
      <c r="O111" s="98"/>
      <c r="P111" s="71">
        <v>1122.7351650000007</v>
      </c>
      <c r="Q111" s="206">
        <f t="shared" si="5"/>
        <v>2604.6718240000009</v>
      </c>
    </row>
    <row r="112" spans="2:17" x14ac:dyDescent="0.25">
      <c r="B112" s="69">
        <v>1983</v>
      </c>
      <c r="C112" s="98">
        <v>2.3520000000000003</v>
      </c>
      <c r="D112" s="98"/>
      <c r="E112" s="98">
        <v>239.58314100000001</v>
      </c>
      <c r="F112" s="98">
        <v>114.28662000000001</v>
      </c>
      <c r="G112" s="205">
        <v>6.125</v>
      </c>
      <c r="H112" s="205">
        <v>47.04</v>
      </c>
      <c r="I112" s="205">
        <v>319.43100000000004</v>
      </c>
      <c r="J112" s="205">
        <v>92.988</v>
      </c>
      <c r="K112" s="205"/>
      <c r="L112" s="205">
        <v>452.83500000000004</v>
      </c>
      <c r="M112" s="205"/>
      <c r="N112" s="205"/>
      <c r="O112" s="98"/>
      <c r="P112" s="98">
        <v>1121.1046590000001</v>
      </c>
      <c r="Q112" s="206">
        <f t="shared" si="5"/>
        <v>2395.7454200000002</v>
      </c>
    </row>
    <row r="113" spans="2:17" x14ac:dyDescent="0.25">
      <c r="B113" s="69">
        <v>1984</v>
      </c>
      <c r="C113" s="98">
        <v>1.6800000000000002</v>
      </c>
      <c r="D113" s="98"/>
      <c r="E113" s="98">
        <v>237.56949300000002</v>
      </c>
      <c r="F113" s="98">
        <v>131.63476200000002</v>
      </c>
      <c r="G113" s="205">
        <v>3.871</v>
      </c>
      <c r="H113" s="205">
        <v>22.785</v>
      </c>
      <c r="I113" s="205">
        <v>335.39100000000002</v>
      </c>
      <c r="J113" s="205">
        <v>91.602000000000004</v>
      </c>
      <c r="K113" s="205"/>
      <c r="L113" s="205">
        <v>1007.8325</v>
      </c>
      <c r="M113" s="205"/>
      <c r="N113" s="205"/>
      <c r="O113" s="98"/>
      <c r="P113" s="98">
        <v>1127.0303069999998</v>
      </c>
      <c r="Q113" s="206">
        <f t="shared" si="5"/>
        <v>2959.3960619999998</v>
      </c>
    </row>
    <row r="114" spans="2:17" x14ac:dyDescent="0.25">
      <c r="B114" s="69">
        <v>1985</v>
      </c>
      <c r="C114" s="98">
        <v>1.94292</v>
      </c>
      <c r="D114" s="98"/>
      <c r="E114" s="98">
        <v>336.71108100000004</v>
      </c>
      <c r="F114" s="98">
        <v>208.66849500000004</v>
      </c>
      <c r="G114" s="205">
        <v>6.7130000000000001</v>
      </c>
      <c r="H114" s="205">
        <v>26.95</v>
      </c>
      <c r="I114" s="205">
        <v>342.88800000000003</v>
      </c>
      <c r="J114" s="205">
        <v>85.155000000000001</v>
      </c>
      <c r="K114" s="205"/>
      <c r="L114" s="205">
        <v>3044.7741299999998</v>
      </c>
      <c r="M114" s="205"/>
      <c r="N114" s="205"/>
      <c r="O114" s="98"/>
      <c r="P114" s="71">
        <v>955.12174799999991</v>
      </c>
      <c r="Q114" s="206">
        <f t="shared" si="5"/>
        <v>5008.9243739999993</v>
      </c>
    </row>
    <row r="115" spans="2:17" x14ac:dyDescent="0.25">
      <c r="B115" s="69">
        <v>1986</v>
      </c>
      <c r="C115" s="98">
        <v>2.1436800000000003</v>
      </c>
      <c r="D115" s="98">
        <v>0</v>
      </c>
      <c r="E115" s="98">
        <v>256.34746200000001</v>
      </c>
      <c r="F115" s="98">
        <v>157.77468000000002</v>
      </c>
      <c r="G115" s="205">
        <v>8.7219999999999995</v>
      </c>
      <c r="H115" s="205">
        <v>47.677</v>
      </c>
      <c r="I115" s="205">
        <v>453.64200000000005</v>
      </c>
      <c r="J115" s="205">
        <v>51.507962046261405</v>
      </c>
      <c r="K115" s="205"/>
      <c r="L115" s="205">
        <v>1431.6168</v>
      </c>
      <c r="M115" s="205"/>
      <c r="N115" s="205"/>
      <c r="O115" s="98"/>
      <c r="P115" s="71">
        <v>1148.5593874799999</v>
      </c>
      <c r="Q115" s="206">
        <f t="shared" si="5"/>
        <v>3557.9909715262611</v>
      </c>
    </row>
    <row r="116" spans="2:17" x14ac:dyDescent="0.25">
      <c r="B116" s="69">
        <v>1987</v>
      </c>
      <c r="C116" s="98">
        <v>2.5225200000000001</v>
      </c>
      <c r="D116" s="98">
        <v>0.252</v>
      </c>
      <c r="E116" s="98">
        <v>198.04692600000001</v>
      </c>
      <c r="F116" s="98">
        <v>364.383173</v>
      </c>
      <c r="G116" s="205">
        <v>9.4080000000000013</v>
      </c>
      <c r="H116" s="205">
        <v>42.189</v>
      </c>
      <c r="I116" s="205">
        <v>162.47700000000003</v>
      </c>
      <c r="J116" s="205">
        <v>23.834306066119993</v>
      </c>
      <c r="K116" s="205"/>
      <c r="L116" s="205">
        <v>580.48319000000004</v>
      </c>
      <c r="M116" s="205"/>
      <c r="N116" s="205"/>
      <c r="O116" s="98"/>
      <c r="P116" s="71">
        <v>1060.7124911999999</v>
      </c>
      <c r="Q116" s="206">
        <f t="shared" si="5"/>
        <v>2444.30860626612</v>
      </c>
    </row>
    <row r="117" spans="2:17" x14ac:dyDescent="0.25">
      <c r="B117" s="69">
        <v>1988</v>
      </c>
      <c r="C117" s="98">
        <v>5.7556799999999999</v>
      </c>
      <c r="D117" s="98">
        <v>0.252</v>
      </c>
      <c r="E117" s="98">
        <v>299.05558200000002</v>
      </c>
      <c r="F117" s="98">
        <v>337.40410900000001</v>
      </c>
      <c r="G117" s="205">
        <v>9.5549999999999997</v>
      </c>
      <c r="H117" s="205">
        <v>42.826000000000001</v>
      </c>
      <c r="I117" s="205">
        <v>80.283000000000015</v>
      </c>
      <c r="J117" s="205">
        <v>17.464043905216162</v>
      </c>
      <c r="K117" s="205"/>
      <c r="L117" s="205">
        <v>865.24119000000007</v>
      </c>
      <c r="M117" s="205"/>
      <c r="N117" s="205"/>
      <c r="O117" s="98"/>
      <c r="P117" s="71">
        <v>1187.3282131199999</v>
      </c>
      <c r="Q117" s="206">
        <f t="shared" si="5"/>
        <v>2845.1648180252159</v>
      </c>
    </row>
    <row r="118" spans="2:17" x14ac:dyDescent="0.25">
      <c r="B118" s="69">
        <v>1989</v>
      </c>
      <c r="C118" s="98">
        <v>3.4868399999999999</v>
      </c>
      <c r="D118" s="98">
        <v>0.13440000000000002</v>
      </c>
      <c r="E118" s="98">
        <v>461.98595100000006</v>
      </c>
      <c r="F118" s="98">
        <v>341.57963000000007</v>
      </c>
      <c r="G118" s="205">
        <v>10.731</v>
      </c>
      <c r="H118" s="205">
        <v>53.753</v>
      </c>
      <c r="I118" s="205">
        <v>44.31</v>
      </c>
      <c r="J118" s="205">
        <v>17.801751827050072</v>
      </c>
      <c r="K118" s="205"/>
      <c r="L118" s="205">
        <v>739.10001</v>
      </c>
      <c r="M118" s="205"/>
      <c r="N118" s="205"/>
      <c r="O118" s="98"/>
      <c r="P118" s="71">
        <v>1216.5450863999999</v>
      </c>
      <c r="Q118" s="206">
        <f t="shared" si="5"/>
        <v>2889.42766922705</v>
      </c>
    </row>
    <row r="119" spans="2:17" x14ac:dyDescent="0.25">
      <c r="B119" s="69">
        <v>1990</v>
      </c>
      <c r="C119" s="98">
        <v>2.2075200000000001</v>
      </c>
      <c r="D119" s="98">
        <v>132.88800000000001</v>
      </c>
      <c r="E119" s="98">
        <v>290.81906700000002</v>
      </c>
      <c r="F119" s="98">
        <v>310.51335</v>
      </c>
      <c r="G119" s="205">
        <v>1.1760000000000002</v>
      </c>
      <c r="H119" s="205">
        <v>40.131</v>
      </c>
      <c r="I119" s="205">
        <v>223.83900000000003</v>
      </c>
      <c r="J119" s="205">
        <v>15.268336567727967</v>
      </c>
      <c r="K119" s="205"/>
      <c r="L119" s="205">
        <v>307.62439999999998</v>
      </c>
      <c r="M119" s="205"/>
      <c r="N119" s="205"/>
      <c r="O119" s="98"/>
      <c r="P119" s="71">
        <v>1323.9823590000003</v>
      </c>
      <c r="Q119" s="206">
        <f t="shared" si="5"/>
        <v>2648.449032567728</v>
      </c>
    </row>
    <row r="120" spans="2:17" x14ac:dyDescent="0.25">
      <c r="B120" s="69">
        <v>1991</v>
      </c>
      <c r="C120" s="98">
        <v>3.9396000000000009</v>
      </c>
      <c r="D120" s="98">
        <v>216.0564</v>
      </c>
      <c r="E120" s="98">
        <v>297.079566</v>
      </c>
      <c r="F120" s="98">
        <v>294.63357000000002</v>
      </c>
      <c r="G120" s="205">
        <v>4.508</v>
      </c>
      <c r="H120" s="205">
        <v>46.697000000000003</v>
      </c>
      <c r="I120" s="205">
        <v>301.77000000000004</v>
      </c>
      <c r="J120" s="205">
        <v>17.493585961799852</v>
      </c>
      <c r="K120" s="205"/>
      <c r="L120" s="205">
        <v>271.06690000000003</v>
      </c>
      <c r="M120" s="205"/>
      <c r="N120" s="205"/>
      <c r="O120" s="98"/>
      <c r="P120" s="71">
        <v>1251.0690329999998</v>
      </c>
      <c r="Q120" s="206">
        <f t="shared" si="5"/>
        <v>2704.3136549617998</v>
      </c>
    </row>
    <row r="121" spans="2:17" x14ac:dyDescent="0.25">
      <c r="B121" s="69">
        <v>1992</v>
      </c>
      <c r="C121" s="98">
        <v>1.2633600000000003</v>
      </c>
      <c r="D121" s="98">
        <v>151.47720000000001</v>
      </c>
      <c r="E121" s="98">
        <v>382.82330100000001</v>
      </c>
      <c r="F121" s="98">
        <v>333.66868499999998</v>
      </c>
      <c r="G121" s="205">
        <v>2.0089999999999999</v>
      </c>
      <c r="H121" s="205">
        <v>72.863</v>
      </c>
      <c r="I121" s="205">
        <v>248.19900000000001</v>
      </c>
      <c r="J121" s="205">
        <v>20.843801436269441</v>
      </c>
      <c r="K121" s="205"/>
      <c r="L121" s="205">
        <v>289.94435000000004</v>
      </c>
      <c r="M121" s="205"/>
      <c r="N121" s="205"/>
      <c r="O121" s="98"/>
      <c r="P121" s="71">
        <v>1309.830725999999</v>
      </c>
      <c r="Q121" s="206">
        <f t="shared" si="5"/>
        <v>2812.9224234362682</v>
      </c>
    </row>
    <row r="122" spans="2:17" x14ac:dyDescent="0.25">
      <c r="B122" s="69">
        <v>1993</v>
      </c>
      <c r="C122" s="98">
        <v>1.7707200000000001</v>
      </c>
      <c r="D122" s="98">
        <v>547.84800000000007</v>
      </c>
      <c r="E122" s="98">
        <v>265.14518100000004</v>
      </c>
      <c r="F122" s="98">
        <v>294.44653000000005</v>
      </c>
      <c r="G122" s="205">
        <v>1.323</v>
      </c>
      <c r="H122" s="205">
        <v>108.09400000000001</v>
      </c>
      <c r="I122" s="205">
        <v>316.36500000000001</v>
      </c>
      <c r="J122" s="205">
        <v>36.795240021685125</v>
      </c>
      <c r="K122" s="205"/>
      <c r="L122" s="205">
        <v>733.70690000000002</v>
      </c>
      <c r="M122" s="205"/>
      <c r="N122" s="205"/>
      <c r="O122" s="98"/>
      <c r="P122" s="71">
        <v>1099.5247788692725</v>
      </c>
      <c r="Q122" s="206">
        <f t="shared" si="5"/>
        <v>3405.0193498909575</v>
      </c>
    </row>
    <row r="123" spans="2:17" x14ac:dyDescent="0.25">
      <c r="B123" s="69">
        <v>1994</v>
      </c>
      <c r="C123" s="98">
        <v>4.4041199999999998</v>
      </c>
      <c r="D123" s="98">
        <v>446.71200000000005</v>
      </c>
      <c r="E123" s="98">
        <v>347.46600000000001</v>
      </c>
      <c r="F123" s="98">
        <v>266.01666</v>
      </c>
      <c r="G123" s="205">
        <v>0.34300000000000003</v>
      </c>
      <c r="H123" s="205">
        <v>81.046000000000006</v>
      </c>
      <c r="I123" s="205">
        <v>354.291</v>
      </c>
      <c r="J123" s="205">
        <v>31.721807786200571</v>
      </c>
      <c r="K123" s="205"/>
      <c r="L123" s="205">
        <v>441.16449999999998</v>
      </c>
      <c r="M123" s="205"/>
      <c r="N123" s="205"/>
      <c r="O123" s="98"/>
      <c r="P123" s="71">
        <v>1492.7773132920597</v>
      </c>
      <c r="Q123" s="206">
        <f t="shared" si="5"/>
        <v>3465.9424010782604</v>
      </c>
    </row>
    <row r="124" spans="2:17" x14ac:dyDescent="0.25">
      <c r="B124" s="69">
        <v>1995</v>
      </c>
      <c r="C124" s="98">
        <v>1.5607200000000003</v>
      </c>
      <c r="D124" s="98">
        <v>451.83600000000001</v>
      </c>
      <c r="E124" s="98">
        <v>415.77900000000005</v>
      </c>
      <c r="F124" s="98">
        <v>241.76362</v>
      </c>
      <c r="G124" s="205">
        <v>1.3720000000000001</v>
      </c>
      <c r="H124" s="205">
        <v>69.629000000000005</v>
      </c>
      <c r="I124" s="205">
        <v>164.89200000000002</v>
      </c>
      <c r="J124" s="205">
        <v>30.51003900000001</v>
      </c>
      <c r="K124" s="205"/>
      <c r="L124" s="205">
        <v>1533.9150999999999</v>
      </c>
      <c r="M124" s="205"/>
      <c r="N124" s="205"/>
      <c r="O124" s="98"/>
      <c r="P124" s="71">
        <v>1755.9143357460594</v>
      </c>
      <c r="Q124" s="206">
        <f t="shared" si="5"/>
        <v>4667.1718147460597</v>
      </c>
    </row>
    <row r="125" spans="2:17" x14ac:dyDescent="0.25">
      <c r="B125" s="69">
        <v>1996</v>
      </c>
      <c r="C125" s="98">
        <v>3.4675200000000004</v>
      </c>
      <c r="D125" s="98">
        <v>464.85600000000005</v>
      </c>
      <c r="E125" s="98">
        <v>468.00600000000003</v>
      </c>
      <c r="F125" s="98">
        <v>251.63719</v>
      </c>
      <c r="G125" s="205">
        <v>1.7150000000000001</v>
      </c>
      <c r="H125" s="205">
        <v>31.654</v>
      </c>
      <c r="I125" s="205">
        <v>258.95100000000002</v>
      </c>
      <c r="J125" s="205">
        <v>20.768608273733818</v>
      </c>
      <c r="K125" s="205"/>
      <c r="L125" s="205">
        <v>351.25421</v>
      </c>
      <c r="M125" s="205"/>
      <c r="N125" s="205"/>
      <c r="O125" s="98"/>
      <c r="P125" s="71">
        <v>1351.8437012340003</v>
      </c>
      <c r="Q125" s="206">
        <f t="shared" si="5"/>
        <v>3204.1532295077341</v>
      </c>
    </row>
    <row r="126" spans="2:17" x14ac:dyDescent="0.25">
      <c r="B126" s="69">
        <v>1997</v>
      </c>
      <c r="C126" s="98">
        <v>2262.8073720000002</v>
      </c>
      <c r="D126" s="98">
        <v>250.65600000000001</v>
      </c>
      <c r="E126" s="98">
        <v>370.524</v>
      </c>
      <c r="F126" s="98">
        <v>173.68421000000001</v>
      </c>
      <c r="G126" s="205">
        <v>11.711</v>
      </c>
      <c r="H126" s="205">
        <v>49.245000000000005</v>
      </c>
      <c r="I126" s="205">
        <v>183.37200000000001</v>
      </c>
      <c r="J126" s="205">
        <v>18.417762110226342</v>
      </c>
      <c r="K126" s="205"/>
      <c r="L126" s="205">
        <v>281.98062000000004</v>
      </c>
      <c r="M126" s="205"/>
      <c r="N126" s="205"/>
      <c r="O126" s="98"/>
      <c r="P126" s="71">
        <v>1426.7587431219438</v>
      </c>
      <c r="Q126" s="206">
        <f t="shared" si="5"/>
        <v>5029.1567072321695</v>
      </c>
    </row>
    <row r="127" spans="2:17" x14ac:dyDescent="0.25">
      <c r="B127" s="69">
        <v>1998</v>
      </c>
      <c r="C127" s="98">
        <v>2077.1856000000007</v>
      </c>
      <c r="D127" s="98">
        <v>230.74800000000002</v>
      </c>
      <c r="E127" s="98">
        <v>433.14600000000002</v>
      </c>
      <c r="F127" s="98">
        <v>130.18137999999999</v>
      </c>
      <c r="G127" s="205">
        <v>1.7150000000000001</v>
      </c>
      <c r="H127" s="205">
        <v>45.423000000000002</v>
      </c>
      <c r="I127" s="205">
        <v>156.744</v>
      </c>
      <c r="J127" s="205">
        <v>26.508995142216673</v>
      </c>
      <c r="K127" s="205"/>
      <c r="L127" s="205">
        <v>251.95099999999999</v>
      </c>
      <c r="M127" s="205"/>
      <c r="N127" s="205"/>
      <c r="O127" s="98"/>
      <c r="P127" s="71">
        <v>1504.0265169872773</v>
      </c>
      <c r="Q127" s="206">
        <f t="shared" si="5"/>
        <v>4857.6294921294948</v>
      </c>
    </row>
    <row r="128" spans="2:17" x14ac:dyDescent="0.25">
      <c r="B128" s="69">
        <v>1999</v>
      </c>
      <c r="C128" s="98">
        <v>2005.9425959999996</v>
      </c>
      <c r="D128" s="98">
        <v>214.65267600000001</v>
      </c>
      <c r="E128" s="98">
        <v>374.72400000000005</v>
      </c>
      <c r="F128" s="98">
        <v>136.61466000000001</v>
      </c>
      <c r="G128" s="205">
        <v>1.8620000000000001</v>
      </c>
      <c r="H128" s="205">
        <v>55.664000000000001</v>
      </c>
      <c r="I128" s="205">
        <v>228.83700000000002</v>
      </c>
      <c r="J128" s="205">
        <v>22.847559345857718</v>
      </c>
      <c r="K128" s="205"/>
      <c r="L128" s="205">
        <v>183.26328000000001</v>
      </c>
      <c r="M128" s="205"/>
      <c r="N128" s="205"/>
      <c r="O128" s="98"/>
      <c r="P128" s="71">
        <v>1731.7488650257062</v>
      </c>
      <c r="Q128" s="206">
        <f t="shared" si="5"/>
        <v>4956.1566363715647</v>
      </c>
    </row>
    <row r="129" spans="2:17" x14ac:dyDescent="0.25">
      <c r="B129" s="69">
        <v>2000</v>
      </c>
      <c r="C129" s="98">
        <v>2158.0155712920005</v>
      </c>
      <c r="D129" s="98">
        <v>201.74112000000002</v>
      </c>
      <c r="E129" s="98">
        <v>432.95700000000005</v>
      </c>
      <c r="F129" s="98">
        <v>144.4177</v>
      </c>
      <c r="G129" s="205">
        <v>12.936</v>
      </c>
      <c r="H129" s="205">
        <v>45.210192999999997</v>
      </c>
      <c r="I129" s="205">
        <v>186.31200000000001</v>
      </c>
      <c r="J129" s="205">
        <v>20.308407547307141</v>
      </c>
      <c r="K129" s="205"/>
      <c r="L129" s="205">
        <v>476.51447999999999</v>
      </c>
      <c r="M129" s="205"/>
      <c r="N129" s="205"/>
      <c r="O129" s="98"/>
      <c r="P129" s="71">
        <v>1581.4727665146238</v>
      </c>
      <c r="Q129" s="206">
        <f t="shared" si="5"/>
        <v>5259.8852383539306</v>
      </c>
    </row>
    <row r="130" spans="2:17" x14ac:dyDescent="0.25">
      <c r="B130" s="69">
        <v>2001</v>
      </c>
      <c r="C130" s="98">
        <v>1601.9063959079999</v>
      </c>
      <c r="D130" s="98">
        <v>209.08507200000003</v>
      </c>
      <c r="E130" s="98">
        <v>331.21199999999999</v>
      </c>
      <c r="F130" s="98">
        <v>136.65236199999998</v>
      </c>
      <c r="G130" s="205">
        <v>7.5460000000000003</v>
      </c>
      <c r="H130" s="205">
        <v>48.210757000000001</v>
      </c>
      <c r="I130" s="205">
        <v>216.405</v>
      </c>
      <c r="J130" s="205">
        <v>18.826421240976085</v>
      </c>
      <c r="K130" s="205"/>
      <c r="L130" s="205">
        <v>437.70093000000003</v>
      </c>
      <c r="M130" s="205"/>
      <c r="N130" s="205"/>
      <c r="O130" s="98"/>
      <c r="P130" s="71">
        <v>2102.9655880076566</v>
      </c>
      <c r="Q130" s="206">
        <f t="shared" si="5"/>
        <v>5110.5105261566323</v>
      </c>
    </row>
    <row r="131" spans="2:17" x14ac:dyDescent="0.25">
      <c r="B131" s="69">
        <v>2002</v>
      </c>
      <c r="C131" s="98">
        <v>1492.4378205239998</v>
      </c>
      <c r="D131" s="98">
        <v>259.5684</v>
      </c>
      <c r="E131" s="98">
        <v>242.58864000000003</v>
      </c>
      <c r="F131" s="98">
        <v>116.24555600000001</v>
      </c>
      <c r="G131" s="205">
        <v>10.927</v>
      </c>
      <c r="H131" s="205">
        <v>46.753938000000005</v>
      </c>
      <c r="I131" s="205">
        <v>199.101</v>
      </c>
      <c r="J131" s="205">
        <v>16.606850209737793</v>
      </c>
      <c r="K131" s="205"/>
      <c r="L131" s="205">
        <v>415.55332000000004</v>
      </c>
      <c r="M131" s="205"/>
      <c r="N131" s="205"/>
      <c r="O131" s="98"/>
      <c r="P131" s="71">
        <v>1162.5049038925386</v>
      </c>
      <c r="Q131" s="206">
        <f t="shared" si="5"/>
        <v>3962.2874286262759</v>
      </c>
    </row>
    <row r="132" spans="2:17" x14ac:dyDescent="0.25">
      <c r="B132" s="69">
        <v>2003</v>
      </c>
      <c r="C132" s="98">
        <v>1567.9177941840003</v>
      </c>
      <c r="D132" s="98">
        <v>505.33593600000006</v>
      </c>
      <c r="E132" s="98">
        <v>249.63325799999998</v>
      </c>
      <c r="F132" s="98">
        <v>96.074349000000012</v>
      </c>
      <c r="G132" s="205">
        <v>12.495000000000001</v>
      </c>
      <c r="H132" s="205">
        <v>59.574983999999994</v>
      </c>
      <c r="I132" s="205">
        <v>183.435</v>
      </c>
      <c r="J132" s="205">
        <v>20.649345424482981</v>
      </c>
      <c r="K132" s="205"/>
      <c r="L132" s="205">
        <v>262.63524000000001</v>
      </c>
      <c r="M132" s="205"/>
      <c r="N132" s="205"/>
      <c r="O132" s="98"/>
      <c r="P132" s="71">
        <v>1204.429601805401</v>
      </c>
      <c r="Q132" s="206">
        <f t="shared" si="5"/>
        <v>4162.1805084138832</v>
      </c>
    </row>
    <row r="133" spans="2:17" x14ac:dyDescent="0.25">
      <c r="B133" s="69">
        <v>2004</v>
      </c>
      <c r="C133" s="98">
        <v>1820.8744430520001</v>
      </c>
      <c r="D133" s="98">
        <v>113.32440336000001</v>
      </c>
      <c r="E133" s="98">
        <v>285.06160199999999</v>
      </c>
      <c r="F133" s="98">
        <v>121.22114899999997</v>
      </c>
      <c r="G133" s="205">
        <v>15.925000000000001</v>
      </c>
      <c r="H133" s="205">
        <v>56.880229</v>
      </c>
      <c r="I133" s="205">
        <v>221.10900000000001</v>
      </c>
      <c r="J133" s="205">
        <v>31.565710626607132</v>
      </c>
      <c r="K133" s="205"/>
      <c r="L133" s="205">
        <v>358.67613499999999</v>
      </c>
      <c r="M133" s="205"/>
      <c r="N133" s="205"/>
      <c r="O133" s="98"/>
      <c r="P133" s="71">
        <v>1210.2142597527402</v>
      </c>
      <c r="Q133" s="206">
        <f t="shared" si="5"/>
        <v>4234.8519317913479</v>
      </c>
    </row>
    <row r="134" spans="2:17" x14ac:dyDescent="0.25">
      <c r="B134" s="69">
        <v>2005</v>
      </c>
      <c r="C134" s="98">
        <v>1408.7911944960001</v>
      </c>
      <c r="D134" s="98">
        <v>572.39935200000002</v>
      </c>
      <c r="E134" s="98">
        <v>293.37056699999999</v>
      </c>
      <c r="F134" s="98">
        <v>117.82819109325467</v>
      </c>
      <c r="G134" s="205">
        <v>16.317</v>
      </c>
      <c r="H134" s="205">
        <v>72.050874000000007</v>
      </c>
      <c r="I134" s="205">
        <v>116.82300000000001</v>
      </c>
      <c r="J134" s="205">
        <v>35.805026747887268</v>
      </c>
      <c r="K134" s="205"/>
      <c r="L134" s="205">
        <v>298.86279400000001</v>
      </c>
      <c r="M134" s="205"/>
      <c r="N134" s="205"/>
      <c r="O134" s="98"/>
      <c r="P134" s="71">
        <v>1879.6372355720014</v>
      </c>
      <c r="Q134" s="206">
        <f t="shared" si="5"/>
        <v>4811.885234909143</v>
      </c>
    </row>
    <row r="135" spans="2:17" x14ac:dyDescent="0.25">
      <c r="B135" s="69">
        <v>2006</v>
      </c>
      <c r="C135" s="98">
        <v>1462.8763517760001</v>
      </c>
      <c r="D135" s="98">
        <v>605.79674399999999</v>
      </c>
      <c r="E135" s="98">
        <v>225.27147300000001</v>
      </c>
      <c r="F135" s="98">
        <v>131.85311784400002</v>
      </c>
      <c r="G135" s="205">
        <v>11.221</v>
      </c>
      <c r="H135" s="205">
        <v>60.674691000000003</v>
      </c>
      <c r="I135" s="205">
        <v>71.547000000000011</v>
      </c>
      <c r="J135" s="205">
        <v>40.013326314018101</v>
      </c>
      <c r="K135" s="205"/>
      <c r="L135" s="205">
        <v>264.55902899999995</v>
      </c>
      <c r="M135" s="205"/>
      <c r="N135" s="205"/>
      <c r="O135" s="98"/>
      <c r="P135" s="71">
        <v>1725.8807622580437</v>
      </c>
      <c r="Q135" s="206">
        <f t="shared" si="5"/>
        <v>4599.6934951920621</v>
      </c>
    </row>
    <row r="136" spans="2:17" x14ac:dyDescent="0.25">
      <c r="B136" s="69">
        <v>2007</v>
      </c>
      <c r="C136" s="98">
        <v>1609.0360439999999</v>
      </c>
      <c r="D136" s="98">
        <v>740.4142880400002</v>
      </c>
      <c r="E136" s="98">
        <v>188.32432500000002</v>
      </c>
      <c r="F136" s="98">
        <v>107.98591933500002</v>
      </c>
      <c r="G136" s="205">
        <v>20.972000000000001</v>
      </c>
      <c r="H136" s="205">
        <v>55.938938999999998</v>
      </c>
      <c r="I136" s="205">
        <v>65.436000000000007</v>
      </c>
      <c r="J136" s="205">
        <v>28.586402032548428</v>
      </c>
      <c r="K136" s="205"/>
      <c r="L136" s="205">
        <v>171.61182400000001</v>
      </c>
      <c r="M136" s="205"/>
      <c r="N136" s="205"/>
      <c r="O136" s="98"/>
      <c r="P136" s="71">
        <v>1380.0475886185222</v>
      </c>
      <c r="Q136" s="206">
        <f t="shared" si="5"/>
        <v>4368.3533300260715</v>
      </c>
    </row>
    <row r="137" spans="2:17" x14ac:dyDescent="0.25">
      <c r="B137" s="69">
        <v>2008</v>
      </c>
      <c r="C137" s="98">
        <v>1941.0705720000001</v>
      </c>
      <c r="D137" s="98">
        <v>662.87440800000002</v>
      </c>
      <c r="E137" s="98">
        <v>250.90134300000003</v>
      </c>
      <c r="F137" s="98">
        <v>125.97878969200001</v>
      </c>
      <c r="G137" s="205">
        <v>35.28</v>
      </c>
      <c r="H137" s="205">
        <v>54.623289</v>
      </c>
      <c r="I137" s="205">
        <v>84.309183000000004</v>
      </c>
      <c r="J137" s="205">
        <v>25.184143528507398</v>
      </c>
      <c r="K137" s="205"/>
      <c r="L137" s="205">
        <v>177.24768478800002</v>
      </c>
      <c r="M137" s="205"/>
      <c r="N137" s="205"/>
      <c r="O137" s="98"/>
      <c r="P137" s="71">
        <v>1243.8099657082946</v>
      </c>
      <c r="Q137" s="206">
        <f t="shared" si="5"/>
        <v>4601.279378716803</v>
      </c>
    </row>
    <row r="138" spans="2:17" x14ac:dyDescent="0.25">
      <c r="B138" s="69">
        <v>2009</v>
      </c>
      <c r="C138" s="98">
        <v>2275.2626400000004</v>
      </c>
      <c r="D138" s="98">
        <v>650.16292488000011</v>
      </c>
      <c r="E138" s="98">
        <v>335.86011900000005</v>
      </c>
      <c r="F138" s="98">
        <v>163.98626453999998</v>
      </c>
      <c r="G138" s="205">
        <v>47.187000000000005</v>
      </c>
      <c r="H138" s="205">
        <v>51.991744000000004</v>
      </c>
      <c r="I138" s="205">
        <v>80.412779999999984</v>
      </c>
      <c r="J138" s="205">
        <v>37.460133849705485</v>
      </c>
      <c r="K138" s="205"/>
      <c r="L138" s="205">
        <v>183.80397186799999</v>
      </c>
      <c r="M138" s="205"/>
      <c r="N138" s="205"/>
      <c r="O138" s="98"/>
      <c r="P138" s="71">
        <v>1216.1475446476406</v>
      </c>
      <c r="Q138" s="206">
        <f t="shared" si="5"/>
        <v>5042.275122785346</v>
      </c>
    </row>
    <row r="139" spans="2:17" x14ac:dyDescent="0.25">
      <c r="B139" s="69">
        <v>2010</v>
      </c>
      <c r="C139" s="98">
        <v>2376.9479159999996</v>
      </c>
      <c r="D139" s="98">
        <v>698.97789947999991</v>
      </c>
      <c r="E139" s="98">
        <v>241.73746128000002</v>
      </c>
      <c r="F139" s="98">
        <v>137.79080196897445</v>
      </c>
      <c r="G139" s="205">
        <v>34.300000000000004</v>
      </c>
      <c r="H139" s="205">
        <v>57.895411000000003</v>
      </c>
      <c r="I139" s="205">
        <v>93.855615000000014</v>
      </c>
      <c r="J139" s="205">
        <v>44.530549983017735</v>
      </c>
      <c r="K139" s="205"/>
      <c r="L139" s="205">
        <v>184.443770898</v>
      </c>
      <c r="M139" s="205"/>
      <c r="N139" s="205"/>
      <c r="O139" s="98"/>
      <c r="P139" s="71">
        <v>1308.722016949084</v>
      </c>
      <c r="Q139" s="206">
        <f t="shared" si="5"/>
        <v>5179.201442559076</v>
      </c>
    </row>
    <row r="140" spans="2:17" x14ac:dyDescent="0.25">
      <c r="B140" s="69">
        <v>2011</v>
      </c>
      <c r="C140" s="98">
        <v>2500.4916720000001</v>
      </c>
      <c r="D140" s="98">
        <v>623.3014998000001</v>
      </c>
      <c r="E140" s="98">
        <v>175.46663399999997</v>
      </c>
      <c r="F140" s="98">
        <v>88.991825516126198</v>
      </c>
      <c r="G140" s="205">
        <v>34.300000000000004</v>
      </c>
      <c r="H140" s="205">
        <v>66.183956999999992</v>
      </c>
      <c r="I140" s="205">
        <v>90.328265999999971</v>
      </c>
      <c r="J140" s="205">
        <v>43.696378125821496</v>
      </c>
      <c r="K140" s="205"/>
      <c r="L140" s="205">
        <v>178.182795</v>
      </c>
      <c r="M140" s="205"/>
      <c r="N140" s="205"/>
      <c r="O140" s="98"/>
      <c r="P140" s="71">
        <v>1221.43671731882</v>
      </c>
      <c r="Q140" s="206">
        <f t="shared" si="5"/>
        <v>5022.3797447607676</v>
      </c>
    </row>
    <row r="141" spans="2:17" x14ac:dyDescent="0.25">
      <c r="B141" s="69">
        <v>2012</v>
      </c>
      <c r="C141" s="98">
        <v>2610.0576599999999</v>
      </c>
      <c r="D141" s="98">
        <v>418.39434000000006</v>
      </c>
      <c r="E141" s="98">
        <v>156.12496199999998</v>
      </c>
      <c r="F141" s="98">
        <v>78.209929000000002</v>
      </c>
      <c r="G141" s="205">
        <v>49</v>
      </c>
      <c r="H141" s="205">
        <v>73.585701</v>
      </c>
      <c r="I141" s="205">
        <v>31.417323000000014</v>
      </c>
      <c r="J141" s="205">
        <v>34.133919178941774</v>
      </c>
      <c r="K141" s="205"/>
      <c r="L141" s="205">
        <v>229.47136807143099</v>
      </c>
      <c r="M141" s="205"/>
      <c r="N141" s="205"/>
      <c r="O141" s="98"/>
      <c r="P141" s="71">
        <v>1243.2601403450808</v>
      </c>
      <c r="Q141" s="206">
        <f t="shared" si="5"/>
        <v>4923.6553425954535</v>
      </c>
    </row>
    <row r="142" spans="2:17" x14ac:dyDescent="0.25">
      <c r="B142" s="69">
        <v>2013</v>
      </c>
      <c r="C142" s="98">
        <v>2534.3426640000002</v>
      </c>
      <c r="D142" s="98">
        <v>454.23974399999997</v>
      </c>
      <c r="E142" s="98">
        <v>105.96198900000003</v>
      </c>
      <c r="F142" s="98"/>
      <c r="G142" s="205">
        <v>49</v>
      </c>
      <c r="H142" s="205">
        <v>63.213037999999997</v>
      </c>
      <c r="I142" s="205">
        <v>55.546197000000006</v>
      </c>
      <c r="J142" s="205">
        <v>29.776663530639247</v>
      </c>
      <c r="K142" s="205"/>
      <c r="L142" s="205">
        <v>219.38697999999999</v>
      </c>
      <c r="M142" s="205"/>
      <c r="N142" s="205"/>
      <c r="O142" s="98"/>
      <c r="P142" s="71">
        <v>1254.7020488631999</v>
      </c>
      <c r="Q142" s="206">
        <f t="shared" si="5"/>
        <v>4766.1693243938389</v>
      </c>
    </row>
    <row r="143" spans="2:17" x14ac:dyDescent="0.25">
      <c r="B143" s="69">
        <v>2014</v>
      </c>
      <c r="C143" s="98">
        <v>2569.199556</v>
      </c>
      <c r="D143" s="98">
        <v>257.14794000000001</v>
      </c>
      <c r="E143" s="98">
        <v>125.33022600000004</v>
      </c>
      <c r="F143" s="98"/>
      <c r="G143" s="205">
        <v>39.200000000000003</v>
      </c>
      <c r="H143" s="205">
        <v>67.779789000000008</v>
      </c>
      <c r="I143" s="205">
        <v>21.502886999999998</v>
      </c>
      <c r="J143" s="205">
        <v>31.514059499999998</v>
      </c>
      <c r="K143" s="205"/>
      <c r="L143" s="205">
        <v>201.436949474551</v>
      </c>
      <c r="M143" s="205"/>
      <c r="N143" s="205"/>
      <c r="O143" s="98"/>
      <c r="P143" s="71">
        <v>1114.9275368299998</v>
      </c>
      <c r="Q143" s="206">
        <f t="shared" si="5"/>
        <v>4428.0389438045504</v>
      </c>
    </row>
    <row r="144" spans="2:17" x14ac:dyDescent="0.25">
      <c r="B144" s="69">
        <v>2015</v>
      </c>
      <c r="C144" s="98">
        <v>2645.6195640000001</v>
      </c>
      <c r="D144" s="98">
        <v>64.766534000000007</v>
      </c>
      <c r="E144" s="98">
        <v>163.15061700000001</v>
      </c>
      <c r="F144" s="98"/>
      <c r="G144" s="98"/>
      <c r="H144" s="98">
        <v>72.980845000000002</v>
      </c>
      <c r="I144" s="98">
        <v>62.231799000000009</v>
      </c>
      <c r="J144" s="98">
        <v>36.380578731</v>
      </c>
      <c r="K144" s="98"/>
      <c r="L144" s="98">
        <v>190.01922500000001</v>
      </c>
      <c r="M144" s="98"/>
      <c r="N144" s="98"/>
      <c r="O144" s="98"/>
      <c r="P144" s="71">
        <v>903.33534209804793</v>
      </c>
      <c r="Q144" s="206">
        <f t="shared" ref="Q144" si="6">SUM(C144:P144)</f>
        <v>4138.4845048290481</v>
      </c>
    </row>
    <row r="145" spans="2:17" x14ac:dyDescent="0.25">
      <c r="B145" s="63" t="s">
        <v>46</v>
      </c>
      <c r="C145" s="101">
        <f>SUM(C79:C144)</f>
        <v>38970.188867232006</v>
      </c>
      <c r="D145" s="101">
        <f>SUM(D79:D144)</f>
        <v>10145.899281560003</v>
      </c>
      <c r="E145" s="101">
        <f t="shared" ref="E145:N145" si="7">SUM(E79:E144)</f>
        <v>14332.01949228</v>
      </c>
      <c r="F145" s="101">
        <f t="shared" si="7"/>
        <v>5731.0582189893557</v>
      </c>
      <c r="G145" s="101">
        <f t="shared" si="7"/>
        <v>511.85400000000004</v>
      </c>
      <c r="H145" s="101">
        <f t="shared" si="7"/>
        <v>2244.5513790000005</v>
      </c>
      <c r="I145" s="101">
        <f t="shared" si="7"/>
        <v>8673.4545660000003</v>
      </c>
      <c r="J145" s="101">
        <f t="shared" si="7"/>
        <v>1636.4342530615629</v>
      </c>
      <c r="K145" s="101">
        <f t="shared" si="7"/>
        <v>0</v>
      </c>
      <c r="L145" s="101">
        <f t="shared" si="7"/>
        <v>18411.283277099981</v>
      </c>
      <c r="M145" s="101">
        <f t="shared" si="7"/>
        <v>0</v>
      </c>
      <c r="N145" s="101">
        <f t="shared" si="7"/>
        <v>0</v>
      </c>
      <c r="O145" s="101">
        <f>SUM(O79:O144)</f>
        <v>0</v>
      </c>
      <c r="P145" s="101">
        <f>SUM(P79:P144)</f>
        <v>59441.393909242019</v>
      </c>
      <c r="Q145" s="207">
        <f>SUM(Q79:Q144)</f>
        <v>160098.13724446492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150"/>
  <sheetViews>
    <sheetView tabSelected="1" zoomScale="80" zoomScaleNormal="80" workbookViewId="0">
      <selection activeCell="P54" sqref="P54"/>
    </sheetView>
  </sheetViews>
  <sheetFormatPr defaultColWidth="8.85546875" defaultRowHeight="12.75" x14ac:dyDescent="0.2"/>
  <cols>
    <col min="1" max="1" width="8.85546875" style="1"/>
    <col min="2" max="2" width="11.28515625" style="1" customWidth="1"/>
    <col min="3" max="3" width="9.7109375" style="1" customWidth="1"/>
    <col min="4" max="4" width="10" style="1" customWidth="1"/>
    <col min="5" max="5" width="14.28515625" style="1" customWidth="1"/>
    <col min="6" max="6" width="12.42578125" style="1" customWidth="1"/>
    <col min="7" max="7" width="14.140625" style="1" customWidth="1"/>
    <col min="8" max="8" width="14.42578125" style="1" customWidth="1"/>
    <col min="9" max="9" width="11.5703125" style="1" customWidth="1"/>
    <col min="10" max="10" width="9.7109375" style="1" customWidth="1"/>
    <col min="11" max="11" width="11.28515625" style="1" customWidth="1"/>
    <col min="12" max="12" width="12.5703125" style="1" customWidth="1"/>
    <col min="13" max="13" width="12.28515625" style="1" customWidth="1"/>
    <col min="14" max="14" width="14.140625" style="1" customWidth="1"/>
    <col min="15" max="15" width="15.42578125" style="1" customWidth="1"/>
    <col min="16" max="16" width="9.85546875" style="1" customWidth="1"/>
    <col min="17" max="17" width="10.140625" style="1" customWidth="1"/>
    <col min="18" max="18" width="8.85546875" style="1"/>
    <col min="19" max="19" width="10.5703125" style="1" bestFit="1" customWidth="1"/>
    <col min="20" max="20" width="10.140625" style="1" customWidth="1"/>
    <col min="21" max="21" width="12.7109375" style="1" customWidth="1"/>
    <col min="22" max="22" width="12.28515625" style="1" customWidth="1"/>
    <col min="23" max="23" width="11.28515625" style="1" customWidth="1"/>
    <col min="24" max="25" width="8.85546875" style="1"/>
    <col min="26" max="26" width="12" style="1" customWidth="1"/>
    <col min="27" max="27" width="11.140625" style="1" customWidth="1"/>
    <col min="28" max="28" width="14.28515625" style="1" customWidth="1"/>
    <col min="29" max="30" width="8.85546875" style="1"/>
    <col min="31" max="31" width="10.85546875" style="1" bestFit="1" customWidth="1"/>
    <col min="32" max="32" width="11.28515625" style="1" customWidth="1"/>
    <col min="33" max="33" width="10.85546875" style="1" customWidth="1"/>
    <col min="34" max="35" width="8.85546875" style="1"/>
    <col min="36" max="36" width="10.140625" style="1" customWidth="1"/>
    <col min="37" max="37" width="8.85546875" style="1"/>
    <col min="38" max="38" width="10.7109375" style="1" customWidth="1"/>
    <col min="39" max="43" width="8.85546875" style="1"/>
    <col min="44" max="44" width="13.7109375" style="1" bestFit="1" customWidth="1"/>
    <col min="45" max="45" width="8.85546875" style="1"/>
    <col min="46" max="46" width="11.140625" style="1" customWidth="1"/>
    <col min="47" max="47" width="10.7109375" style="1" customWidth="1"/>
    <col min="48" max="49" width="8.85546875" style="1"/>
    <col min="50" max="50" width="10.42578125" style="1" customWidth="1"/>
    <col min="51" max="51" width="8.85546875" style="1"/>
    <col min="52" max="52" width="10.140625" style="1" customWidth="1"/>
    <col min="53" max="87" width="8.85546875" style="1"/>
    <col min="88" max="89" width="11.7109375" style="1" bestFit="1" customWidth="1"/>
    <col min="90" max="108" width="8.85546875" style="1"/>
    <col min="109" max="109" width="11.42578125" style="1" customWidth="1"/>
    <col min="110" max="134" width="8.85546875" style="1"/>
    <col min="135" max="135" width="10.7109375" style="1" bestFit="1" customWidth="1"/>
    <col min="136" max="16384" width="8.85546875" style="1"/>
  </cols>
  <sheetData>
    <row r="1" spans="1:44" x14ac:dyDescent="0.2">
      <c r="C1" s="2" t="s">
        <v>0</v>
      </c>
      <c r="Q1" s="2" t="s">
        <v>3</v>
      </c>
    </row>
    <row r="2" spans="1:44" x14ac:dyDescent="0.2"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/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AN2" s="5"/>
      <c r="AO2" s="5"/>
      <c r="AP2" s="5"/>
      <c r="AQ2" s="5"/>
      <c r="AR2" s="5"/>
    </row>
    <row r="3" spans="1:44" x14ac:dyDescent="0.2">
      <c r="B3" s="6" t="s">
        <v>58</v>
      </c>
      <c r="C3" s="6" t="s">
        <v>58</v>
      </c>
      <c r="D3" s="6" t="s">
        <v>58</v>
      </c>
      <c r="E3" s="6" t="s">
        <v>59</v>
      </c>
      <c r="F3" s="6" t="s">
        <v>58</v>
      </c>
      <c r="G3" s="6" t="s">
        <v>58</v>
      </c>
      <c r="I3" s="6" t="s">
        <v>59</v>
      </c>
      <c r="J3" s="6" t="s">
        <v>58</v>
      </c>
      <c r="K3" s="6" t="s">
        <v>58</v>
      </c>
      <c r="L3" s="6" t="s">
        <v>58</v>
      </c>
      <c r="M3" s="6" t="s">
        <v>58</v>
      </c>
      <c r="N3" s="6" t="s">
        <v>58</v>
      </c>
      <c r="P3" s="6" t="str">
        <f t="shared" ref="P3:U3" si="0">B2</f>
        <v>N</v>
      </c>
      <c r="Q3" s="6" t="str">
        <f t="shared" si="0"/>
        <v>N</v>
      </c>
      <c r="R3" s="6" t="str">
        <f t="shared" si="0"/>
        <v>N</v>
      </c>
      <c r="S3" s="6" t="str">
        <f t="shared" si="0"/>
        <v>N</v>
      </c>
      <c r="T3" s="6" t="str">
        <f t="shared" si="0"/>
        <v>N</v>
      </c>
      <c r="U3" s="6" t="str">
        <f t="shared" si="0"/>
        <v>N</v>
      </c>
      <c r="V3" s="6"/>
      <c r="W3" s="6" t="str">
        <f t="shared" ref="W3:AB3" si="1">I2</f>
        <v>S</v>
      </c>
      <c r="X3" s="6" t="str">
        <f t="shared" si="1"/>
        <v>S</v>
      </c>
      <c r="Y3" s="6" t="str">
        <f t="shared" si="1"/>
        <v>S</v>
      </c>
      <c r="Z3" s="6" t="str">
        <f t="shared" si="1"/>
        <v>S</v>
      </c>
      <c r="AA3" s="6" t="str">
        <f t="shared" si="1"/>
        <v>S</v>
      </c>
      <c r="AB3" s="6" t="str">
        <f t="shared" si="1"/>
        <v>S</v>
      </c>
    </row>
    <row r="4" spans="1:44" x14ac:dyDescent="0.2">
      <c r="B4" s="4" t="s">
        <v>4</v>
      </c>
      <c r="C4" s="4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/>
      <c r="I4" s="6" t="s">
        <v>56</v>
      </c>
      <c r="J4" s="6" t="s">
        <v>10</v>
      </c>
      <c r="K4" s="6" t="s">
        <v>11</v>
      </c>
      <c r="L4" s="6" t="s">
        <v>57</v>
      </c>
      <c r="M4" s="6" t="s">
        <v>12</v>
      </c>
      <c r="N4" s="6" t="s">
        <v>13</v>
      </c>
      <c r="P4" s="4" t="str">
        <f t="shared" ref="P4:U4" si="2">B4</f>
        <v>US-Log</v>
      </c>
      <c r="Q4" s="4" t="str">
        <f t="shared" si="2"/>
        <v>US-Obs</v>
      </c>
      <c r="R4" s="4" t="str">
        <f t="shared" si="2"/>
        <v>JPLL-N</v>
      </c>
      <c r="S4" s="4" t="str">
        <f t="shared" si="2"/>
        <v>POR-LL-N</v>
      </c>
      <c r="T4" s="4" t="str">
        <f t="shared" si="2"/>
        <v>ESP-LL-N</v>
      </c>
      <c r="U4" s="4" t="str">
        <f t="shared" si="2"/>
        <v>CH-TA-LLN</v>
      </c>
      <c r="V4" s="4"/>
      <c r="W4" s="4" t="str">
        <f>I4</f>
        <v>UR-LL-Log</v>
      </c>
      <c r="X4" s="4" t="str">
        <f t="shared" ref="X4:AB4" si="3">J4</f>
        <v>JPLL-S</v>
      </c>
      <c r="Y4" s="4" t="str">
        <f t="shared" si="3"/>
        <v>BR-LL</v>
      </c>
      <c r="Z4" s="4" t="str">
        <f t="shared" si="3"/>
        <v>UR-LL-Obs</v>
      </c>
      <c r="AA4" s="4" t="str">
        <f t="shared" si="3"/>
        <v>ESP-LL-S</v>
      </c>
      <c r="AB4" s="4" t="str">
        <f t="shared" si="3"/>
        <v>CH-TA-LLS</v>
      </c>
      <c r="AG4" s="4" t="s">
        <v>14</v>
      </c>
      <c r="AJ4" s="4" t="s">
        <v>15</v>
      </c>
      <c r="AK4" s="6">
        <v>2012</v>
      </c>
      <c r="AL4" s="4" t="s">
        <v>15</v>
      </c>
      <c r="AM4" s="6">
        <v>2017</v>
      </c>
      <c r="AO4" s="5"/>
      <c r="AP4" s="5"/>
      <c r="AQ4" s="5"/>
      <c r="AR4" s="5"/>
    </row>
    <row r="5" spans="1:44" x14ac:dyDescent="0.2">
      <c r="A5" s="8">
        <v>1971</v>
      </c>
      <c r="B5" s="9"/>
      <c r="C5" s="9"/>
      <c r="D5" s="9"/>
      <c r="E5" s="9"/>
      <c r="F5" s="9"/>
      <c r="G5" s="9"/>
      <c r="H5" s="10"/>
      <c r="I5" s="9"/>
      <c r="J5" s="9"/>
      <c r="K5" s="9"/>
      <c r="L5" s="9"/>
      <c r="M5" s="9"/>
      <c r="N5" s="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F5" s="1" t="s">
        <v>16</v>
      </c>
      <c r="AH5" s="7" t="s">
        <v>17</v>
      </c>
      <c r="AI5" s="7"/>
    </row>
    <row r="6" spans="1:44" x14ac:dyDescent="0.2">
      <c r="A6" s="8">
        <v>1972</v>
      </c>
      <c r="B6" s="9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9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F6" s="37" t="s">
        <v>18</v>
      </c>
      <c r="AG6" s="37" t="s">
        <v>19</v>
      </c>
      <c r="AH6" s="37" t="s">
        <v>18</v>
      </c>
      <c r="AI6" s="37" t="s">
        <v>19</v>
      </c>
      <c r="AJ6" s="37" t="s">
        <v>18</v>
      </c>
      <c r="AK6" s="37" t="s">
        <v>19</v>
      </c>
      <c r="AL6" s="37" t="s">
        <v>18</v>
      </c>
      <c r="AM6" s="37" t="s">
        <v>19</v>
      </c>
      <c r="AO6" s="5"/>
      <c r="AP6" s="5"/>
      <c r="AQ6" s="5"/>
      <c r="AR6" s="5"/>
    </row>
    <row r="7" spans="1:44" x14ac:dyDescent="0.2">
      <c r="A7" s="8">
        <v>1973</v>
      </c>
      <c r="B7" s="9"/>
      <c r="C7" s="9"/>
      <c r="D7" s="9"/>
      <c r="E7" s="9"/>
      <c r="F7" s="9"/>
      <c r="G7" s="9"/>
      <c r="H7" s="10"/>
      <c r="I7" s="9"/>
      <c r="J7" s="9"/>
      <c r="K7" s="9"/>
      <c r="L7" s="9"/>
      <c r="M7" s="9"/>
      <c r="N7" s="9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E7" s="38">
        <v>1950</v>
      </c>
      <c r="AF7" s="39">
        <v>4705743.4935114095</v>
      </c>
      <c r="AG7" s="39">
        <v>30134.767402619891</v>
      </c>
      <c r="AH7" s="36">
        <f>AF7/$AF$73</f>
        <v>2.575457579345573E-2</v>
      </c>
      <c r="AI7" s="36">
        <f t="shared" ref="AI7:AI38" si="4">AG7/$AG$73</f>
        <v>1.3878683666987778E-4</v>
      </c>
      <c r="AL7" s="40">
        <v>105.63</v>
      </c>
    </row>
    <row r="8" spans="1:44" x14ac:dyDescent="0.2">
      <c r="A8" s="8">
        <v>1974</v>
      </c>
      <c r="B8" s="9"/>
      <c r="C8" s="9"/>
      <c r="D8" s="9"/>
      <c r="E8" s="9"/>
      <c r="F8" s="9"/>
      <c r="G8" s="9"/>
      <c r="H8" s="10"/>
      <c r="I8" s="9"/>
      <c r="J8" s="9"/>
      <c r="K8" s="9"/>
      <c r="L8" s="9"/>
      <c r="M8" s="9"/>
      <c r="N8" s="9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E8" s="38">
        <v>1951</v>
      </c>
      <c r="AF8" s="39">
        <v>3145846.5153854806</v>
      </c>
      <c r="AG8" s="39">
        <v>20145.456962581928</v>
      </c>
      <c r="AH8" s="36">
        <f t="shared" ref="AH8:AH38" si="5">AF8/$AF$73</f>
        <v>1.7217245824552405E-2</v>
      </c>
      <c r="AI8" s="36">
        <f t="shared" si="4"/>
        <v>9.2780681123254155E-5</v>
      </c>
      <c r="AL8" s="40">
        <v>70.614999999999995</v>
      </c>
      <c r="AO8" s="5"/>
      <c r="AP8" s="5"/>
      <c r="AQ8" s="5"/>
      <c r="AR8" s="5"/>
    </row>
    <row r="9" spans="1:44" x14ac:dyDescent="0.2">
      <c r="A9" s="8">
        <v>1975</v>
      </c>
      <c r="B9" s="9"/>
      <c r="C9" s="9"/>
      <c r="D9" s="9"/>
      <c r="E9" s="9"/>
      <c r="F9" s="9"/>
      <c r="G9" s="9"/>
      <c r="H9" s="10"/>
      <c r="I9" s="9"/>
      <c r="J9" s="9"/>
      <c r="K9" s="9"/>
      <c r="L9" s="9"/>
      <c r="M9" s="9"/>
      <c r="N9" s="9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E9" s="38">
        <v>1952</v>
      </c>
      <c r="AF9" s="39">
        <v>3152525.698489598</v>
      </c>
      <c r="AG9" s="39">
        <v>20145.456962581928</v>
      </c>
      <c r="AH9" s="36">
        <f t="shared" si="5"/>
        <v>1.7253801052802852E-2</v>
      </c>
      <c r="AI9" s="36">
        <f t="shared" si="4"/>
        <v>9.2780681123254155E-5</v>
      </c>
      <c r="AL9" s="40">
        <v>70.614999999999995</v>
      </c>
    </row>
    <row r="10" spans="1:44" x14ac:dyDescent="0.2">
      <c r="A10" s="8">
        <v>1976</v>
      </c>
      <c r="B10" s="9"/>
      <c r="C10" s="9"/>
      <c r="D10" s="9"/>
      <c r="E10" s="9"/>
      <c r="F10" s="9"/>
      <c r="G10" s="9"/>
      <c r="H10" s="10"/>
      <c r="I10" s="9"/>
      <c r="J10" s="9"/>
      <c r="K10" s="9"/>
      <c r="L10" s="9"/>
      <c r="M10" s="9"/>
      <c r="N10" s="9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E10" s="38">
        <v>1953</v>
      </c>
      <c r="AF10" s="39">
        <v>3918607.7487340574</v>
      </c>
      <c r="AG10" s="39">
        <v>25087.975906817919</v>
      </c>
      <c r="AH10" s="36">
        <f t="shared" si="5"/>
        <v>2.1446574894860345E-2</v>
      </c>
      <c r="AI10" s="36">
        <f t="shared" si="4"/>
        <v>1.1554364326218943E-4</v>
      </c>
      <c r="AL10" s="40">
        <v>87.94</v>
      </c>
      <c r="AO10" s="5"/>
      <c r="AP10" s="5"/>
      <c r="AQ10" s="5"/>
      <c r="AR10" s="5"/>
    </row>
    <row r="11" spans="1:44" x14ac:dyDescent="0.2">
      <c r="A11" s="8">
        <v>1977</v>
      </c>
      <c r="B11" s="9"/>
      <c r="C11" s="9"/>
      <c r="D11" s="9"/>
      <c r="E11" s="9"/>
      <c r="F11" s="9"/>
      <c r="G11" s="9"/>
      <c r="H11" s="10"/>
      <c r="I11" s="9"/>
      <c r="J11" s="9"/>
      <c r="K11" s="9"/>
      <c r="L11" s="9"/>
      <c r="M11" s="9"/>
      <c r="N11" s="9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E11" s="38">
        <v>1954</v>
      </c>
      <c r="AF11" s="39">
        <v>993253.81696953566</v>
      </c>
      <c r="AG11" s="39">
        <v>6360.6256455357088</v>
      </c>
      <c r="AH11" s="36">
        <f t="shared" si="5"/>
        <v>5.4360869321826944E-3</v>
      </c>
      <c r="AI11" s="36">
        <f t="shared" si="4"/>
        <v>2.9294107393988147E-5</v>
      </c>
      <c r="AL11" s="40">
        <v>22.295999999999999</v>
      </c>
    </row>
    <row r="12" spans="1:44" x14ac:dyDescent="0.2">
      <c r="A12" s="8">
        <v>1978</v>
      </c>
      <c r="B12" s="12"/>
      <c r="C12" s="12"/>
      <c r="D12" s="8"/>
      <c r="E12" s="8"/>
      <c r="F12" s="8"/>
      <c r="G12" s="8"/>
      <c r="H12" s="5"/>
      <c r="I12" s="12"/>
      <c r="J12" s="8"/>
      <c r="K12" s="13">
        <v>1.2999999999999999E-2</v>
      </c>
      <c r="L12" s="8"/>
      <c r="M12" s="8"/>
      <c r="N12" s="8"/>
      <c r="O12" s="14"/>
      <c r="P12" s="15"/>
      <c r="Q12" s="15"/>
      <c r="R12" s="15"/>
      <c r="S12" s="16"/>
      <c r="T12" s="15"/>
      <c r="U12" s="15"/>
      <c r="V12" s="15"/>
      <c r="W12" s="15"/>
      <c r="X12" s="15"/>
      <c r="Y12" s="17">
        <v>0.50600000000000001</v>
      </c>
      <c r="Z12" s="15"/>
      <c r="AA12" s="15"/>
      <c r="AB12" s="15"/>
      <c r="AE12" s="38">
        <v>1955</v>
      </c>
      <c r="AF12" s="39">
        <v>2020587.6080387724</v>
      </c>
      <c r="AG12" s="39">
        <v>12908.941883890489</v>
      </c>
      <c r="AH12" s="36">
        <f t="shared" si="5"/>
        <v>1.1058693864276138E-2</v>
      </c>
      <c r="AI12" s="36">
        <f t="shared" si="4"/>
        <v>5.9452631071733254E-5</v>
      </c>
      <c r="AL12" s="40">
        <v>45.249000000000002</v>
      </c>
      <c r="AO12" s="5"/>
      <c r="AP12" s="5"/>
      <c r="AQ12" s="5"/>
      <c r="AR12" s="5"/>
    </row>
    <row r="13" spans="1:44" x14ac:dyDescent="0.2">
      <c r="A13" s="8">
        <v>1979</v>
      </c>
      <c r="B13" s="12"/>
      <c r="C13" s="12"/>
      <c r="D13" s="8"/>
      <c r="E13" s="8"/>
      <c r="F13" s="8"/>
      <c r="G13" s="8"/>
      <c r="H13" s="5"/>
      <c r="I13" s="12"/>
      <c r="J13" s="8"/>
      <c r="K13" s="13">
        <v>7.0000000000000001E-3</v>
      </c>
      <c r="L13" s="8"/>
      <c r="M13" s="8"/>
      <c r="N13" s="8"/>
      <c r="O13" s="14"/>
      <c r="P13" s="15"/>
      <c r="Q13" s="15"/>
      <c r="R13" s="15"/>
      <c r="S13" s="16"/>
      <c r="T13" s="15"/>
      <c r="U13" s="15"/>
      <c r="V13" s="15"/>
      <c r="W13" s="15"/>
      <c r="X13" s="15"/>
      <c r="Y13" s="17">
        <v>0.54800000000000004</v>
      </c>
      <c r="Z13" s="15"/>
      <c r="AA13" s="15"/>
      <c r="AB13" s="15"/>
      <c r="AE13" s="46">
        <v>1956</v>
      </c>
      <c r="AF13" s="47">
        <v>30927.14366519234</v>
      </c>
      <c r="AG13" s="47">
        <v>96292.788939638427</v>
      </c>
      <c r="AH13" s="43">
        <f>AF13/$AF$73</f>
        <v>1.6926453103501679E-4</v>
      </c>
      <c r="AI13" s="43">
        <f t="shared" si="4"/>
        <v>4.4348016337735998E-4</v>
      </c>
      <c r="AL13" s="40">
        <v>27.34</v>
      </c>
    </row>
    <row r="14" spans="1:44" x14ac:dyDescent="0.2">
      <c r="A14" s="8">
        <v>1980</v>
      </c>
      <c r="B14" s="12"/>
      <c r="C14" s="12"/>
      <c r="D14" s="8"/>
      <c r="E14" s="8"/>
      <c r="F14" s="8"/>
      <c r="G14" s="8"/>
      <c r="H14" s="5"/>
      <c r="I14" s="12"/>
      <c r="J14" s="8"/>
      <c r="K14" s="13">
        <v>3.3000000000000002E-2</v>
      </c>
      <c r="L14" s="8"/>
      <c r="M14" s="8"/>
      <c r="N14" s="8"/>
      <c r="O14" s="14"/>
      <c r="P14" s="15"/>
      <c r="Q14" s="15"/>
      <c r="R14" s="15"/>
      <c r="S14" s="16"/>
      <c r="T14" s="15"/>
      <c r="U14" s="15"/>
      <c r="V14" s="15"/>
      <c r="W14" s="15"/>
      <c r="X14" s="15"/>
      <c r="Y14" s="17">
        <v>0.54200000000000004</v>
      </c>
      <c r="Z14" s="15"/>
      <c r="AA14" s="15"/>
      <c r="AB14" s="15"/>
      <c r="AE14" s="46">
        <v>1957</v>
      </c>
      <c r="AF14" s="47">
        <v>1547559.6242548507</v>
      </c>
      <c r="AG14" s="47">
        <v>3278682.5886502517</v>
      </c>
      <c r="AH14" s="43">
        <f t="shared" si="5"/>
        <v>8.4698075219613086E-3</v>
      </c>
      <c r="AI14" s="43">
        <f t="shared" si="4"/>
        <v>1.5100099458003911E-2</v>
      </c>
      <c r="AL14" s="40">
        <v>73.100999999999999</v>
      </c>
      <c r="AO14" s="5"/>
      <c r="AP14" s="5"/>
      <c r="AQ14" s="5"/>
      <c r="AR14" s="5"/>
    </row>
    <row r="15" spans="1:44" x14ac:dyDescent="0.2">
      <c r="A15" s="8">
        <v>1981</v>
      </c>
      <c r="B15" s="18"/>
      <c r="C15" s="19"/>
      <c r="D15" s="8"/>
      <c r="E15" s="8"/>
      <c r="F15" s="8"/>
      <c r="G15" s="20"/>
      <c r="H15" s="21"/>
      <c r="I15" s="22"/>
      <c r="J15" s="8"/>
      <c r="K15" s="13">
        <v>0.01</v>
      </c>
      <c r="L15" s="8"/>
      <c r="M15" s="8"/>
      <c r="N15" s="20"/>
      <c r="P15" s="15"/>
      <c r="Q15" s="15"/>
      <c r="R15" s="15"/>
      <c r="S15" s="16"/>
      <c r="T15" s="15"/>
      <c r="U15" s="15"/>
      <c r="V15" s="15"/>
      <c r="W15" s="15"/>
      <c r="X15" s="15"/>
      <c r="Y15" s="17">
        <v>0.53800000000000003</v>
      </c>
      <c r="Z15" s="15"/>
      <c r="AA15" s="15"/>
      <c r="AB15" s="15"/>
      <c r="AE15" s="46">
        <v>1958</v>
      </c>
      <c r="AF15" s="47">
        <v>4794356.3534641992</v>
      </c>
      <c r="AG15" s="47">
        <v>4627861.874812806</v>
      </c>
      <c r="AH15" s="43">
        <f t="shared" si="5"/>
        <v>2.6239554760344987E-2</v>
      </c>
      <c r="AI15" s="43">
        <f t="shared" si="4"/>
        <v>2.1313796837023519E-2</v>
      </c>
      <c r="AL15" s="40">
        <v>60.82</v>
      </c>
    </row>
    <row r="16" spans="1:44" x14ac:dyDescent="0.2">
      <c r="A16" s="8">
        <v>1982</v>
      </c>
      <c r="B16" s="18"/>
      <c r="C16" s="19"/>
      <c r="D16" s="8"/>
      <c r="E16" s="8"/>
      <c r="F16" s="8"/>
      <c r="G16" s="20"/>
      <c r="H16" s="21"/>
      <c r="I16" s="23">
        <v>76.743508465478314</v>
      </c>
      <c r="J16" s="8"/>
      <c r="K16" s="13">
        <v>0.01</v>
      </c>
      <c r="L16" s="8"/>
      <c r="M16" s="8"/>
      <c r="N16" s="20"/>
      <c r="P16" s="15"/>
      <c r="Q16" s="15"/>
      <c r="R16" s="15"/>
      <c r="S16" s="16"/>
      <c r="T16" s="15"/>
      <c r="U16" s="15"/>
      <c r="V16" s="15"/>
      <c r="W16" s="17">
        <v>0.16500000000000001</v>
      </c>
      <c r="X16" s="15"/>
      <c r="Y16" s="17">
        <v>0.52900000000000003</v>
      </c>
      <c r="Z16" s="15"/>
      <c r="AA16" s="15"/>
      <c r="AB16" s="15"/>
      <c r="AE16" s="46">
        <v>1959</v>
      </c>
      <c r="AF16" s="47">
        <v>7177537.4575251844</v>
      </c>
      <c r="AG16" s="47">
        <v>10349132.404842444</v>
      </c>
      <c r="AH16" s="43">
        <f t="shared" si="5"/>
        <v>3.9282726037891659E-2</v>
      </c>
      <c r="AI16" s="43">
        <f t="shared" si="4"/>
        <v>4.7663329520868811E-2</v>
      </c>
      <c r="AL16" s="40">
        <v>80.411000000000001</v>
      </c>
      <c r="AO16" s="5"/>
      <c r="AP16" s="5"/>
      <c r="AQ16" s="5"/>
      <c r="AR16" s="5"/>
    </row>
    <row r="17" spans="1:62" x14ac:dyDescent="0.2">
      <c r="A17" s="8">
        <v>1983</v>
      </c>
      <c r="B17" s="18"/>
      <c r="C17" s="19"/>
      <c r="D17" s="8"/>
      <c r="E17" s="8"/>
      <c r="F17" s="8"/>
      <c r="G17" s="20"/>
      <c r="H17" s="21"/>
      <c r="I17" s="23">
        <v>29.719459079188113</v>
      </c>
      <c r="J17" s="8"/>
      <c r="K17" s="13">
        <v>6.0000000000000001E-3</v>
      </c>
      <c r="L17" s="8"/>
      <c r="M17" s="8"/>
      <c r="N17" s="20"/>
      <c r="P17" s="15"/>
      <c r="Q17" s="15"/>
      <c r="R17" s="15"/>
      <c r="S17" s="16"/>
      <c r="T17" s="15"/>
      <c r="U17" s="15"/>
      <c r="V17" s="15"/>
      <c r="W17" s="17">
        <v>0.43200000000000005</v>
      </c>
      <c r="X17" s="15"/>
      <c r="Y17" s="17">
        <v>0.53800000000000003</v>
      </c>
      <c r="Z17" s="15"/>
      <c r="AA17" s="15"/>
      <c r="AB17" s="15"/>
      <c r="AE17" s="46">
        <v>1960</v>
      </c>
      <c r="AF17" s="47">
        <v>5867958.6168455463</v>
      </c>
      <c r="AG17" s="47">
        <v>11758434.170111958</v>
      </c>
      <c r="AH17" s="43">
        <f t="shared" si="5"/>
        <v>3.2115389450953685E-2</v>
      </c>
      <c r="AI17" s="43">
        <f t="shared" si="4"/>
        <v>5.415392330252268E-2</v>
      </c>
      <c r="AL17" s="40">
        <v>52.779000000000003</v>
      </c>
    </row>
    <row r="18" spans="1:62" x14ac:dyDescent="0.2">
      <c r="A18" s="8">
        <v>1984</v>
      </c>
      <c r="B18" s="18"/>
      <c r="C18" s="19"/>
      <c r="D18" s="8"/>
      <c r="E18" s="8"/>
      <c r="F18" s="8"/>
      <c r="G18" s="20"/>
      <c r="H18" s="21"/>
      <c r="I18" s="23">
        <v>14.107422145972055</v>
      </c>
      <c r="J18" s="8"/>
      <c r="K18" s="13">
        <v>0.04</v>
      </c>
      <c r="L18" s="8"/>
      <c r="M18" s="8"/>
      <c r="N18" s="20"/>
      <c r="P18" s="15"/>
      <c r="Q18" s="15"/>
      <c r="R18" s="15"/>
      <c r="S18" s="16"/>
      <c r="T18" s="15"/>
      <c r="U18" s="15"/>
      <c r="V18" s="15"/>
      <c r="W18" s="17">
        <v>0.48200000000000004</v>
      </c>
      <c r="X18" s="15"/>
      <c r="Y18" s="17">
        <v>0.42899999999999999</v>
      </c>
      <c r="Z18" s="15"/>
      <c r="AA18" s="15"/>
      <c r="AB18" s="15"/>
      <c r="AE18" s="46">
        <v>1961</v>
      </c>
      <c r="AF18" s="47">
        <v>5729459.7937818216</v>
      </c>
      <c r="AG18" s="47">
        <v>22044231.275678761</v>
      </c>
      <c r="AH18" s="43">
        <f t="shared" si="5"/>
        <v>3.1357384166386539E-2</v>
      </c>
      <c r="AI18" s="43">
        <f t="shared" si="4"/>
        <v>0.10152555965322148</v>
      </c>
      <c r="AL18" s="40">
        <v>128.23670000000001</v>
      </c>
      <c r="AO18" s="5"/>
      <c r="AP18" s="5"/>
      <c r="AQ18" s="5"/>
      <c r="AR18" s="5"/>
    </row>
    <row r="19" spans="1:62" x14ac:dyDescent="0.2">
      <c r="A19" s="8">
        <v>1985</v>
      </c>
      <c r="B19" s="18"/>
      <c r="C19" s="19"/>
      <c r="D19" s="8"/>
      <c r="E19" s="8"/>
      <c r="F19" s="8"/>
      <c r="G19" s="20"/>
      <c r="H19" s="21"/>
      <c r="I19" s="23">
        <v>10.82884874049056</v>
      </c>
      <c r="J19" s="8"/>
      <c r="K19" s="13">
        <v>5.8000000000000003E-2</v>
      </c>
      <c r="L19" s="8"/>
      <c r="M19" s="8"/>
      <c r="N19" s="20"/>
      <c r="P19" s="15"/>
      <c r="Q19" s="15"/>
      <c r="R19" s="15"/>
      <c r="S19" s="16"/>
      <c r="T19" s="15"/>
      <c r="U19" s="15"/>
      <c r="V19" s="15"/>
      <c r="W19" s="17">
        <v>0.45600000000000002</v>
      </c>
      <c r="X19" s="15"/>
      <c r="Y19" s="17">
        <v>0.439</v>
      </c>
      <c r="Z19" s="15"/>
      <c r="AA19" s="15"/>
      <c r="AB19" s="15"/>
      <c r="AE19" s="46">
        <v>1962</v>
      </c>
      <c r="AF19" s="47">
        <v>14494328.133698573</v>
      </c>
      <c r="AG19" s="47">
        <v>39376667.407828718</v>
      </c>
      <c r="AH19" s="43">
        <f t="shared" si="5"/>
        <v>7.9327586174061951E-2</v>
      </c>
      <c r="AI19" s="43">
        <f t="shared" si="4"/>
        <v>0.18135076455440982</v>
      </c>
      <c r="AL19" s="40">
        <v>176.0634</v>
      </c>
    </row>
    <row r="20" spans="1:62" x14ac:dyDescent="0.2">
      <c r="A20" s="8">
        <v>1986</v>
      </c>
      <c r="B20" s="24">
        <v>1.157</v>
      </c>
      <c r="C20" s="19"/>
      <c r="D20" s="8"/>
      <c r="E20" s="8"/>
      <c r="F20" s="8"/>
      <c r="G20" s="20"/>
      <c r="H20" s="21" t="s">
        <v>222</v>
      </c>
      <c r="I20" s="23">
        <v>12.241905198302364</v>
      </c>
      <c r="J20" s="8"/>
      <c r="K20" s="13">
        <v>4.3999999999999997E-2</v>
      </c>
      <c r="L20" s="8"/>
      <c r="M20" s="8"/>
      <c r="N20" s="20"/>
      <c r="O20" s="21" t="s">
        <v>222</v>
      </c>
      <c r="P20" s="25">
        <v>0.13700000000000001</v>
      </c>
      <c r="Q20" s="15"/>
      <c r="R20" s="15"/>
      <c r="S20" s="16"/>
      <c r="T20" s="26"/>
      <c r="U20" s="15"/>
      <c r="V20" s="214" t="s">
        <v>222</v>
      </c>
      <c r="W20" s="17">
        <v>0.32100000000000001</v>
      </c>
      <c r="X20" s="15"/>
      <c r="Y20" s="17">
        <v>0.42499999999999999</v>
      </c>
      <c r="Z20" s="15"/>
      <c r="AA20" s="15"/>
      <c r="AB20" s="15"/>
      <c r="AC20" s="214" t="s">
        <v>222</v>
      </c>
      <c r="AE20" s="46">
        <v>1963</v>
      </c>
      <c r="AF20" s="47">
        <v>23377646.642414156</v>
      </c>
      <c r="AG20" s="47">
        <v>40647487.089650109</v>
      </c>
      <c r="AH20" s="43">
        <f t="shared" si="5"/>
        <v>0.12794606700404959</v>
      </c>
      <c r="AI20" s="43">
        <f t="shared" si="4"/>
        <v>0.18720357374524757</v>
      </c>
      <c r="AL20" s="40">
        <v>77.066699999999997</v>
      </c>
      <c r="AO20" s="5"/>
      <c r="AP20" s="5"/>
      <c r="AQ20" s="5"/>
      <c r="AR20" s="5"/>
    </row>
    <row r="21" spans="1:62" x14ac:dyDescent="0.2">
      <c r="A21" s="8">
        <v>1987</v>
      </c>
      <c r="B21" s="24">
        <v>1.163</v>
      </c>
      <c r="C21" s="19"/>
      <c r="D21" s="8"/>
      <c r="E21" s="8"/>
      <c r="F21" s="27"/>
      <c r="G21" s="20"/>
      <c r="H21" s="21" t="s">
        <v>223</v>
      </c>
      <c r="I21" s="23">
        <v>22.96775027660556</v>
      </c>
      <c r="J21" s="8"/>
      <c r="K21" s="13">
        <v>2.1000000000000001E-2</v>
      </c>
      <c r="L21" s="8"/>
      <c r="M21" s="27"/>
      <c r="N21" s="20"/>
      <c r="O21" s="21" t="s">
        <v>223</v>
      </c>
      <c r="P21" s="25">
        <v>8.4000000000000005E-2</v>
      </c>
      <c r="Q21" s="15"/>
      <c r="R21" s="15"/>
      <c r="S21" s="16"/>
      <c r="T21" s="26"/>
      <c r="U21" s="15"/>
      <c r="V21" s="214" t="s">
        <v>223</v>
      </c>
      <c r="W21" s="17">
        <v>0.47799999999999998</v>
      </c>
      <c r="X21" s="15"/>
      <c r="Y21" s="17">
        <v>0.432</v>
      </c>
      <c r="Z21" s="15"/>
      <c r="AA21" s="15"/>
      <c r="AB21" s="15"/>
      <c r="AC21" s="214" t="s">
        <v>223</v>
      </c>
      <c r="AE21" s="46">
        <v>1964</v>
      </c>
      <c r="AF21" s="47">
        <v>35169871.913344853</v>
      </c>
      <c r="AG21" s="47">
        <v>39104075.736849718</v>
      </c>
      <c r="AH21" s="43">
        <f t="shared" si="5"/>
        <v>0.19248502029218686</v>
      </c>
      <c r="AI21" s="43">
        <f t="shared" si="4"/>
        <v>0.1800953330718213</v>
      </c>
      <c r="AL21" s="40">
        <v>143.47809999999998</v>
      </c>
      <c r="BA21" s="4" t="s">
        <v>225</v>
      </c>
      <c r="BF21" s="4" t="s">
        <v>3</v>
      </c>
    </row>
    <row r="22" spans="1:62" x14ac:dyDescent="0.2">
      <c r="A22" s="8">
        <v>1988</v>
      </c>
      <c r="B22" s="24">
        <v>0.91700000000000004</v>
      </c>
      <c r="C22" s="19"/>
      <c r="D22" s="8"/>
      <c r="E22" s="8"/>
      <c r="F22" s="27"/>
      <c r="G22" s="20"/>
      <c r="H22" s="21" t="s">
        <v>224</v>
      </c>
      <c r="I22" s="23">
        <v>16.559555718154826</v>
      </c>
      <c r="J22" s="8"/>
      <c r="K22" s="13">
        <v>7.4999999999999997E-2</v>
      </c>
      <c r="L22" s="8"/>
      <c r="M22" s="27"/>
      <c r="N22" s="27"/>
      <c r="O22" s="21" t="s">
        <v>224</v>
      </c>
      <c r="P22" s="25">
        <v>8.3000000000000004E-2</v>
      </c>
      <c r="Q22" s="15"/>
      <c r="R22" s="15"/>
      <c r="S22" s="16"/>
      <c r="T22" s="26"/>
      <c r="U22" s="15"/>
      <c r="V22" s="214" t="s">
        <v>224</v>
      </c>
      <c r="W22" s="17">
        <v>0.39200000000000002</v>
      </c>
      <c r="X22" s="15"/>
      <c r="Y22" s="17">
        <v>0.42899999999999999</v>
      </c>
      <c r="Z22" s="15"/>
      <c r="AA22" s="15"/>
      <c r="AB22" s="15"/>
      <c r="AC22" s="214" t="s">
        <v>224</v>
      </c>
      <c r="AE22" s="46">
        <v>1965</v>
      </c>
      <c r="AF22" s="47">
        <v>41174402.450825654</v>
      </c>
      <c r="AG22" s="47">
        <v>48569769.697341777</v>
      </c>
      <c r="AH22" s="43">
        <f t="shared" si="5"/>
        <v>0.22534786907366045</v>
      </c>
      <c r="AI22" s="43">
        <f t="shared" si="4"/>
        <v>0.22368995267215863</v>
      </c>
      <c r="AL22" s="40">
        <v>114.0063</v>
      </c>
      <c r="AO22" s="5"/>
      <c r="AP22" s="5"/>
      <c r="AQ22" s="5"/>
      <c r="AR22" s="5"/>
      <c r="BA22" s="215" t="s">
        <v>18</v>
      </c>
      <c r="BB22" s="215"/>
      <c r="BC22" s="215" t="s">
        <v>19</v>
      </c>
      <c r="BD22" s="215"/>
      <c r="BG22" s="215" t="s">
        <v>18</v>
      </c>
      <c r="BH22" s="215"/>
      <c r="BI22" s="215" t="s">
        <v>19</v>
      </c>
      <c r="BJ22" s="215"/>
    </row>
    <row r="23" spans="1:62" x14ac:dyDescent="0.2">
      <c r="A23" s="8">
        <v>1989</v>
      </c>
      <c r="B23" s="24">
        <v>1.0629999999999999</v>
      </c>
      <c r="C23" s="19"/>
      <c r="D23" s="8"/>
      <c r="E23" s="8"/>
      <c r="F23" s="27"/>
      <c r="G23" s="20"/>
      <c r="H23" s="211">
        <v>1</v>
      </c>
      <c r="I23" s="23">
        <v>25.388857827643495</v>
      </c>
      <c r="J23" s="8"/>
      <c r="K23" s="13">
        <v>5.8999999999999997E-2</v>
      </c>
      <c r="L23" s="8"/>
      <c r="M23" s="27"/>
      <c r="N23" s="27"/>
      <c r="O23" s="211">
        <v>1</v>
      </c>
      <c r="P23" s="25">
        <v>0.08</v>
      </c>
      <c r="Q23" s="15"/>
      <c r="R23" s="15"/>
      <c r="S23" s="16"/>
      <c r="T23" s="26"/>
      <c r="U23" s="15"/>
      <c r="V23" s="218">
        <v>1</v>
      </c>
      <c r="W23" s="17">
        <v>0.38799999999999996</v>
      </c>
      <c r="X23" s="15"/>
      <c r="Y23" s="17">
        <v>0.42799999999999999</v>
      </c>
      <c r="Z23" s="15"/>
      <c r="AA23" s="15"/>
      <c r="AB23" s="15"/>
      <c r="AC23" s="218">
        <v>1</v>
      </c>
      <c r="AE23" s="46">
        <v>1966</v>
      </c>
      <c r="AF23" s="47">
        <v>25040783.587175235</v>
      </c>
      <c r="AG23" s="47">
        <v>37007192.511058979</v>
      </c>
      <c r="AH23" s="43">
        <f t="shared" si="5"/>
        <v>0.13704843022418839</v>
      </c>
      <c r="AI23" s="43">
        <f t="shared" si="4"/>
        <v>0.17043805628300743</v>
      </c>
      <c r="AL23" s="40">
        <v>227.16040000000001</v>
      </c>
      <c r="BA23" s="210" t="s">
        <v>58</v>
      </c>
      <c r="BB23" s="210" t="s">
        <v>59</v>
      </c>
      <c r="BC23" s="210" t="s">
        <v>58</v>
      </c>
      <c r="BD23" s="210" t="s">
        <v>59</v>
      </c>
      <c r="BG23" s="210" t="s">
        <v>58</v>
      </c>
      <c r="BH23" s="210" t="s">
        <v>59</v>
      </c>
      <c r="BI23" s="210" t="s">
        <v>58</v>
      </c>
      <c r="BJ23" s="210" t="s">
        <v>59</v>
      </c>
    </row>
    <row r="24" spans="1:62" x14ac:dyDescent="0.2">
      <c r="A24" s="8">
        <v>1990</v>
      </c>
      <c r="B24" s="24">
        <v>0.83299999999999996</v>
      </c>
      <c r="C24" s="19"/>
      <c r="D24" s="8"/>
      <c r="E24" s="8"/>
      <c r="F24" s="13">
        <f>IF($H$23=1,BA24,IF($H$23=2,BB24))</f>
        <v>1.0787</v>
      </c>
      <c r="G24" s="20"/>
      <c r="H24" s="21"/>
      <c r="I24" s="23">
        <v>31.025834864370591</v>
      </c>
      <c r="J24" s="8"/>
      <c r="K24" s="13">
        <v>0.13100000000000001</v>
      </c>
      <c r="L24" s="8"/>
      <c r="M24" s="13">
        <f>IF($O$23=1,BC24,IF($O$23=2,BD24))</f>
        <v>0.86319999999999997</v>
      </c>
      <c r="N24" s="20"/>
      <c r="P24" s="25">
        <v>8.2000000000000003E-2</v>
      </c>
      <c r="Q24" s="15"/>
      <c r="R24" s="15"/>
      <c r="S24" s="16"/>
      <c r="T24" s="213">
        <f>IF($V$23=1,BG24,IF($V$23=2,BH24))</f>
        <v>1.2E-2</v>
      </c>
      <c r="U24" s="15"/>
      <c r="V24" s="15"/>
      <c r="W24" s="17">
        <v>0.28699999999999998</v>
      </c>
      <c r="X24" s="15"/>
      <c r="Y24" s="17">
        <v>0.58699999999999997</v>
      </c>
      <c r="Z24" s="15"/>
      <c r="AA24" s="213">
        <f>IF($AC$23=1,BI24,IF($AC$23=2,BJ24))</f>
        <v>1.8000000000000002E-2</v>
      </c>
      <c r="AB24" s="15"/>
      <c r="AE24" s="46">
        <v>1967</v>
      </c>
      <c r="AF24" s="47">
        <v>15995247.630602181</v>
      </c>
      <c r="AG24" s="47">
        <v>28889223.39904834</v>
      </c>
      <c r="AH24" s="43">
        <f t="shared" si="5"/>
        <v>8.7542131866189074E-2</v>
      </c>
      <c r="AI24" s="43">
        <f t="shared" si="4"/>
        <v>0.13305043559270199</v>
      </c>
      <c r="AL24" s="40">
        <v>203.91145</v>
      </c>
      <c r="AO24" s="5"/>
      <c r="AP24" s="5"/>
      <c r="AQ24" s="5"/>
      <c r="AR24" s="5"/>
      <c r="AZ24" s="1">
        <v>1990</v>
      </c>
      <c r="BA24" s="14">
        <v>1.0787</v>
      </c>
      <c r="BB24" s="212">
        <v>43.035699999999999</v>
      </c>
      <c r="BC24" s="212">
        <v>0.86319999999999997</v>
      </c>
      <c r="BD24" s="212">
        <v>57.189799999999998</v>
      </c>
      <c r="BF24" s="1">
        <v>1990</v>
      </c>
      <c r="BG24" s="14">
        <v>1.2E-2</v>
      </c>
      <c r="BH24" s="212">
        <v>0.64</v>
      </c>
      <c r="BI24" s="212">
        <v>1.8000000000000002E-2</v>
      </c>
      <c r="BJ24" s="212">
        <v>0.503</v>
      </c>
    </row>
    <row r="25" spans="1:62" x14ac:dyDescent="0.2">
      <c r="A25" s="8">
        <v>1991</v>
      </c>
      <c r="B25" s="24">
        <v>0.74</v>
      </c>
      <c r="C25" s="19"/>
      <c r="D25" s="8"/>
      <c r="E25" s="8"/>
      <c r="F25" s="13">
        <f t="shared" ref="F25:F49" si="6">IF($H$23=1,BA25,IF($H$23=2,BB25))</f>
        <v>0.99219999999999997</v>
      </c>
      <c r="G25" s="20"/>
      <c r="H25" s="21"/>
      <c r="I25" s="23">
        <v>30.200250218749968</v>
      </c>
      <c r="J25" s="8"/>
      <c r="K25" s="13">
        <v>4.2999999999999997E-2</v>
      </c>
      <c r="L25" s="8"/>
      <c r="M25" s="13">
        <f t="shared" ref="M25:M49" si="7">IF($O$23=1,BC25,IF($O$23=2,BD25))</f>
        <v>0.68410000000000004</v>
      </c>
      <c r="N25" s="20"/>
      <c r="P25" s="25">
        <v>8.4000000000000005E-2</v>
      </c>
      <c r="Q25" s="15"/>
      <c r="R25" s="15"/>
      <c r="S25" s="16"/>
      <c r="T25" s="213">
        <f t="shared" ref="T25:T49" si="8">IF($V$23=1,BG25,IF($V$23=2,BH25))</f>
        <v>1.2E-2</v>
      </c>
      <c r="U25" s="15"/>
      <c r="V25" s="15"/>
      <c r="W25" s="17">
        <v>0.26800000000000002</v>
      </c>
      <c r="X25" s="15"/>
      <c r="Y25" s="17">
        <v>0.47699999999999998</v>
      </c>
      <c r="Z25" s="15"/>
      <c r="AA25" s="213">
        <f t="shared" ref="AA25:AA49" si="9">IF($AC$23=1,BI25,IF($AC$23=2,BJ25))</f>
        <v>1.9E-2</v>
      </c>
      <c r="AB25" s="15"/>
      <c r="AE25" s="46">
        <v>1968</v>
      </c>
      <c r="AF25" s="47">
        <v>22446148.986811511</v>
      </c>
      <c r="AG25" s="47">
        <v>45400689.286931671</v>
      </c>
      <c r="AH25" s="43">
        <f t="shared" si="5"/>
        <v>0.12284797208967016</v>
      </c>
      <c r="AI25" s="43">
        <f t="shared" si="4"/>
        <v>0.20909463028466749</v>
      </c>
      <c r="AL25" s="40">
        <v>268.17234999999999</v>
      </c>
      <c r="AZ25" s="1">
        <v>1991</v>
      </c>
      <c r="BA25" s="14">
        <v>0.99219999999999997</v>
      </c>
      <c r="BB25" s="212">
        <v>42.583300000000001</v>
      </c>
      <c r="BC25" s="212">
        <v>0.68410000000000004</v>
      </c>
      <c r="BD25" s="212">
        <v>40.8596</v>
      </c>
      <c r="BF25" s="1">
        <v>1991</v>
      </c>
      <c r="BG25" s="14">
        <v>1.2E-2</v>
      </c>
      <c r="BH25" s="212">
        <v>5.2770000000000001</v>
      </c>
      <c r="BI25" s="212">
        <v>1.9E-2</v>
      </c>
      <c r="BJ25" s="212">
        <v>0.182</v>
      </c>
    </row>
    <row r="26" spans="1:62" x14ac:dyDescent="0.2">
      <c r="A26" s="8">
        <v>1992</v>
      </c>
      <c r="B26" s="24">
        <v>0.876</v>
      </c>
      <c r="C26" s="102">
        <v>1.121</v>
      </c>
      <c r="D26" s="8"/>
      <c r="E26" s="8"/>
      <c r="F26" s="13">
        <f t="shared" si="6"/>
        <v>1.1447000000000001</v>
      </c>
      <c r="G26" s="20"/>
      <c r="H26" s="21"/>
      <c r="I26" s="23">
        <v>31.8473451677703</v>
      </c>
      <c r="J26" s="24"/>
      <c r="K26" s="13">
        <v>5.1999999999999998E-2</v>
      </c>
      <c r="L26" s="8"/>
      <c r="M26" s="13">
        <f t="shared" si="7"/>
        <v>0.90510000000000002</v>
      </c>
      <c r="N26" s="20"/>
      <c r="P26" s="25">
        <v>8.2000000000000003E-2</v>
      </c>
      <c r="Q26" s="25">
        <v>0.19900000000000001</v>
      </c>
      <c r="R26" s="15"/>
      <c r="S26" s="16"/>
      <c r="T26" s="213">
        <f t="shared" si="8"/>
        <v>1.2E-2</v>
      </c>
      <c r="U26" s="26"/>
      <c r="V26" s="15"/>
      <c r="W26" s="17">
        <v>0.27</v>
      </c>
      <c r="X26" s="15"/>
      <c r="Y26" s="17">
        <v>0.438</v>
      </c>
      <c r="Z26" s="15"/>
      <c r="AA26" s="213">
        <f t="shared" si="9"/>
        <v>1.4999999999999999E-2</v>
      </c>
      <c r="AB26" s="15"/>
      <c r="AE26" s="46">
        <v>1969</v>
      </c>
      <c r="AF26" s="47">
        <v>22650326.896829393</v>
      </c>
      <c r="AG26" s="47">
        <v>72789567.889309034</v>
      </c>
      <c r="AH26" s="43">
        <f t="shared" si="5"/>
        <v>0.12396543959850394</v>
      </c>
      <c r="AI26" s="43">
        <f t="shared" si="4"/>
        <v>0.33523516989370339</v>
      </c>
      <c r="AL26" s="40">
        <v>266.57319999999999</v>
      </c>
      <c r="AO26" s="5"/>
      <c r="AP26" s="5"/>
      <c r="AQ26" s="5"/>
      <c r="AR26" s="5"/>
      <c r="AZ26" s="1">
        <v>1992</v>
      </c>
      <c r="BA26" s="14">
        <v>1.1447000000000001</v>
      </c>
      <c r="BB26" s="212">
        <v>51.414099999999998</v>
      </c>
      <c r="BC26" s="212">
        <v>0.90510000000000002</v>
      </c>
      <c r="BD26" s="212">
        <v>54.146299999999997</v>
      </c>
      <c r="BF26" s="1">
        <v>1992</v>
      </c>
      <c r="BG26" s="14">
        <v>1.2E-2</v>
      </c>
      <c r="BH26" s="212">
        <v>0.36599999999999999</v>
      </c>
      <c r="BI26" s="212">
        <v>1.4999999999999999E-2</v>
      </c>
      <c r="BJ26" s="212">
        <v>0.59</v>
      </c>
    </row>
    <row r="27" spans="1:62" x14ac:dyDescent="0.2">
      <c r="A27" s="8">
        <v>1993</v>
      </c>
      <c r="B27" s="24">
        <v>0.76700000000000002</v>
      </c>
      <c r="C27" s="102">
        <v>0.85699999999999998</v>
      </c>
      <c r="D27" s="8"/>
      <c r="E27" s="8"/>
      <c r="F27" s="13">
        <f t="shared" si="6"/>
        <v>1.0884</v>
      </c>
      <c r="G27" s="20"/>
      <c r="H27" s="21"/>
      <c r="I27" s="23">
        <v>38.403436257096772</v>
      </c>
      <c r="J27" s="24"/>
      <c r="K27" s="13">
        <v>1.4999999999999999E-2</v>
      </c>
      <c r="L27" s="8"/>
      <c r="M27" s="13">
        <f t="shared" si="7"/>
        <v>0.94740000000000002</v>
      </c>
      <c r="N27" s="20"/>
      <c r="P27" s="25">
        <v>8.3000000000000004E-2</v>
      </c>
      <c r="Q27" s="25">
        <v>0.16500000000000001</v>
      </c>
      <c r="R27" s="15"/>
      <c r="S27" s="16"/>
      <c r="T27" s="213">
        <f t="shared" si="8"/>
        <v>1.2E-2</v>
      </c>
      <c r="U27" s="26"/>
      <c r="V27" s="15"/>
      <c r="W27" s="17">
        <v>0.68099999999999994</v>
      </c>
      <c r="X27" s="15"/>
      <c r="Y27" s="17">
        <v>0.63300000000000001</v>
      </c>
      <c r="Z27" s="15"/>
      <c r="AA27" s="213">
        <f t="shared" si="9"/>
        <v>1.2E-2</v>
      </c>
      <c r="AB27" s="15"/>
      <c r="AE27" s="46">
        <v>1970</v>
      </c>
      <c r="AF27" s="47">
        <v>28430641.814695183</v>
      </c>
      <c r="AG27" s="47">
        <v>47209417.104866847</v>
      </c>
      <c r="AH27" s="43">
        <f t="shared" si="5"/>
        <v>0.15560115430915242</v>
      </c>
      <c r="AI27" s="43">
        <f t="shared" si="4"/>
        <v>0.21742479619881389</v>
      </c>
      <c r="AL27" s="40">
        <v>240.25129999999999</v>
      </c>
      <c r="AZ27" s="1">
        <v>1993</v>
      </c>
      <c r="BA27" s="14">
        <v>1.0884</v>
      </c>
      <c r="BB27" s="212">
        <v>48.399700000000003</v>
      </c>
      <c r="BC27" s="212">
        <v>0.94740000000000002</v>
      </c>
      <c r="BD27" s="212">
        <v>53.720799999999997</v>
      </c>
      <c r="BF27" s="1">
        <v>1993</v>
      </c>
      <c r="BG27" s="14">
        <v>1.2E-2</v>
      </c>
      <c r="BH27" s="212">
        <v>0.55799999999999994</v>
      </c>
      <c r="BI27" s="212">
        <v>1.2E-2</v>
      </c>
      <c r="BJ27" s="212">
        <v>0.89800000000000002</v>
      </c>
    </row>
    <row r="28" spans="1:62" x14ac:dyDescent="0.2">
      <c r="A28" s="8">
        <v>1994</v>
      </c>
      <c r="B28" s="24">
        <v>0.72099999999999997</v>
      </c>
      <c r="C28" s="102">
        <v>0.57599999999999996</v>
      </c>
      <c r="D28" s="24">
        <v>0.17898551694280901</v>
      </c>
      <c r="E28" s="24"/>
      <c r="F28" s="13">
        <f t="shared" si="6"/>
        <v>0.99739999999999995</v>
      </c>
      <c r="G28" s="20"/>
      <c r="H28" s="21"/>
      <c r="I28" s="23">
        <v>78.299731134209082</v>
      </c>
      <c r="J28" s="23">
        <v>9.2399999999999996E-2</v>
      </c>
      <c r="K28" s="13">
        <v>7.6999999999999999E-2</v>
      </c>
      <c r="L28" s="24"/>
      <c r="M28" s="13">
        <f t="shared" si="7"/>
        <v>0.9415</v>
      </c>
      <c r="N28" s="20"/>
      <c r="P28" s="25">
        <v>8.2000000000000003E-2</v>
      </c>
      <c r="Q28" s="25">
        <v>0.182</v>
      </c>
      <c r="R28" s="17">
        <v>5.4876509160382697E-2</v>
      </c>
      <c r="S28" s="16"/>
      <c r="T28" s="213">
        <f t="shared" si="8"/>
        <v>1.2E-2</v>
      </c>
      <c r="U28" s="26"/>
      <c r="V28" s="15"/>
      <c r="W28" s="17">
        <v>0.252</v>
      </c>
      <c r="X28" s="17">
        <v>4.0300000000000002E-2</v>
      </c>
      <c r="Y28" s="17">
        <v>0.43</v>
      </c>
      <c r="Z28" s="15"/>
      <c r="AA28" s="213">
        <f t="shared" si="9"/>
        <v>1.3000000000000001E-2</v>
      </c>
      <c r="AB28" s="15"/>
      <c r="AE28" s="48">
        <v>1971</v>
      </c>
      <c r="AF28" s="47">
        <v>41984374.045560092</v>
      </c>
      <c r="AG28" s="47">
        <v>52658449.166033246</v>
      </c>
      <c r="AH28" s="43">
        <f t="shared" si="5"/>
        <v>0.2297808507812053</v>
      </c>
      <c r="AI28" s="43">
        <f t="shared" si="4"/>
        <v>0.24252052408607411</v>
      </c>
      <c r="AJ28" s="49">
        <v>3717.31</v>
      </c>
      <c r="AK28" s="50">
        <v>496</v>
      </c>
      <c r="AL28" s="40">
        <v>373.25295</v>
      </c>
      <c r="AM28" s="40">
        <v>97.326622683899487</v>
      </c>
      <c r="AO28" s="5"/>
      <c r="AP28" s="5"/>
      <c r="AQ28" s="5"/>
      <c r="AR28" s="5"/>
      <c r="AZ28" s="1">
        <v>1994</v>
      </c>
      <c r="BA28" s="14">
        <v>0.99739999999999995</v>
      </c>
      <c r="BB28" s="212">
        <v>41.193100000000001</v>
      </c>
      <c r="BC28" s="212">
        <v>0.9415</v>
      </c>
      <c r="BD28" s="212">
        <v>50.716799999999999</v>
      </c>
      <c r="BF28" s="1">
        <v>1994</v>
      </c>
      <c r="BG28" s="14">
        <v>1.2E-2</v>
      </c>
      <c r="BH28" s="212">
        <v>12.515000000000001</v>
      </c>
      <c r="BI28" s="212">
        <v>1.3000000000000001E-2</v>
      </c>
      <c r="BJ28" s="212">
        <v>0.84900000000000009</v>
      </c>
    </row>
    <row r="29" spans="1:62" x14ac:dyDescent="0.2">
      <c r="A29" s="8">
        <v>1995</v>
      </c>
      <c r="B29" s="24">
        <v>0.69399999999999995</v>
      </c>
      <c r="C29" s="102">
        <v>0.89</v>
      </c>
      <c r="D29" s="24">
        <v>0.108403049341584</v>
      </c>
      <c r="E29" s="24"/>
      <c r="F29" s="13">
        <f t="shared" si="6"/>
        <v>0.86680000000000001</v>
      </c>
      <c r="G29" s="20"/>
      <c r="H29" s="21"/>
      <c r="I29" s="23">
        <v>68.371923813729495</v>
      </c>
      <c r="J29" s="23">
        <v>5.91E-2</v>
      </c>
      <c r="K29" s="13">
        <v>0.13800000000000001</v>
      </c>
      <c r="L29" s="24"/>
      <c r="M29" s="13">
        <f t="shared" si="7"/>
        <v>1.091</v>
      </c>
      <c r="N29" s="20"/>
      <c r="P29" s="25">
        <v>8.1000000000000003E-2</v>
      </c>
      <c r="Q29" s="25">
        <v>0.16900000000000001</v>
      </c>
      <c r="R29" s="17">
        <v>4.9177638011545302E-2</v>
      </c>
      <c r="S29" s="16"/>
      <c r="T29" s="213">
        <f t="shared" si="8"/>
        <v>1.1000000000000001E-2</v>
      </c>
      <c r="U29" s="26"/>
      <c r="V29" s="15"/>
      <c r="W29" s="17">
        <v>0.35</v>
      </c>
      <c r="X29" s="17">
        <v>5.1700000000000003E-2</v>
      </c>
      <c r="Y29" s="17">
        <v>0.42599999999999999</v>
      </c>
      <c r="Z29" s="15"/>
      <c r="AA29" s="213">
        <f t="shared" si="9"/>
        <v>1.2E-2</v>
      </c>
      <c r="AB29" s="15"/>
      <c r="AE29" s="48">
        <v>1972</v>
      </c>
      <c r="AF29" s="47">
        <v>32552555.772365332</v>
      </c>
      <c r="AG29" s="47">
        <v>63041144.819735773</v>
      </c>
      <c r="AH29" s="43">
        <f t="shared" si="5"/>
        <v>0.17816042588510994</v>
      </c>
      <c r="AI29" s="43">
        <f t="shared" si="4"/>
        <v>0.29033843044755425</v>
      </c>
      <c r="AJ29" s="49">
        <v>3013.9900000000002</v>
      </c>
      <c r="AK29" s="50">
        <v>583</v>
      </c>
      <c r="AL29" s="40">
        <v>359.56725</v>
      </c>
      <c r="AM29" s="40">
        <v>60.328060680206733</v>
      </c>
      <c r="AZ29" s="1">
        <v>1995</v>
      </c>
      <c r="BA29" s="14">
        <v>0.86680000000000001</v>
      </c>
      <c r="BB29" s="212">
        <v>36.534199999999998</v>
      </c>
      <c r="BC29" s="212">
        <v>1.091</v>
      </c>
      <c r="BD29" s="212">
        <v>57.967500000000001</v>
      </c>
      <c r="BF29" s="1">
        <v>1995</v>
      </c>
      <c r="BG29" s="14">
        <v>1.1000000000000001E-2</v>
      </c>
      <c r="BH29" s="212">
        <v>0.29699999999999999</v>
      </c>
      <c r="BI29" s="212">
        <v>1.2E-2</v>
      </c>
      <c r="BJ29" s="212">
        <v>0.57399999999999995</v>
      </c>
    </row>
    <row r="30" spans="1:62" x14ac:dyDescent="0.2">
      <c r="A30" s="8">
        <v>1996</v>
      </c>
      <c r="B30" s="24">
        <v>0.61799999999999999</v>
      </c>
      <c r="C30" s="102">
        <v>0.51100000000000001</v>
      </c>
      <c r="D30" s="24">
        <v>0.1116297756005</v>
      </c>
      <c r="E30" s="24"/>
      <c r="F30" s="13">
        <f t="shared" si="6"/>
        <v>1.0904</v>
      </c>
      <c r="G30" s="20"/>
      <c r="H30" s="21"/>
      <c r="I30" s="23">
        <v>33.22007775164478</v>
      </c>
      <c r="J30" s="23">
        <v>6.7100000000000007E-2</v>
      </c>
      <c r="K30" s="13">
        <v>0.14699999999999999</v>
      </c>
      <c r="L30" s="24"/>
      <c r="M30" s="13">
        <f t="shared" si="7"/>
        <v>1.296</v>
      </c>
      <c r="N30" s="20"/>
      <c r="P30" s="25">
        <v>8.4000000000000005E-2</v>
      </c>
      <c r="Q30" s="17">
        <v>0.46</v>
      </c>
      <c r="R30" s="17">
        <v>3.7972992848342602E-2</v>
      </c>
      <c r="S30" s="16"/>
      <c r="T30" s="213">
        <f t="shared" si="8"/>
        <v>0.01</v>
      </c>
      <c r="U30" s="26"/>
      <c r="V30" s="15"/>
      <c r="W30" s="17">
        <v>0.53</v>
      </c>
      <c r="X30" s="17">
        <v>5.7599999999999998E-2</v>
      </c>
      <c r="Y30" s="17">
        <v>0.44600000000000001</v>
      </c>
      <c r="Z30" s="15"/>
      <c r="AA30" s="213">
        <f t="shared" si="9"/>
        <v>1.1000000000000001E-2</v>
      </c>
      <c r="AB30" s="15"/>
      <c r="AE30" s="48">
        <v>1973</v>
      </c>
      <c r="AF30" s="47">
        <v>51919490.645798281</v>
      </c>
      <c r="AG30" s="47">
        <v>80563188.662749559</v>
      </c>
      <c r="AH30" s="43">
        <f t="shared" si="5"/>
        <v>0.28415583187621646</v>
      </c>
      <c r="AI30" s="43">
        <f t="shared" si="4"/>
        <v>0.37103688099379512</v>
      </c>
      <c r="AJ30" s="49">
        <v>3322.3099999999995</v>
      </c>
      <c r="AK30" s="50">
        <v>1180</v>
      </c>
      <c r="AL30" s="40">
        <v>347.80450000000002</v>
      </c>
      <c r="AM30" s="40">
        <v>211.75056007862219</v>
      </c>
      <c r="AO30" s="5"/>
      <c r="AP30" s="5"/>
      <c r="AQ30" s="5"/>
      <c r="AR30" s="5"/>
      <c r="AZ30" s="1">
        <v>1996</v>
      </c>
      <c r="BA30" s="14">
        <v>1.0904</v>
      </c>
      <c r="BB30" s="212">
        <v>43.529299999999999</v>
      </c>
      <c r="BC30" s="212">
        <v>1.296</v>
      </c>
      <c r="BD30" s="212">
        <v>69.682100000000005</v>
      </c>
      <c r="BF30" s="1">
        <v>1996</v>
      </c>
      <c r="BG30" s="14">
        <v>0.01</v>
      </c>
      <c r="BH30" s="212">
        <v>0.47299999999999998</v>
      </c>
      <c r="BI30" s="212">
        <v>1.1000000000000001E-2</v>
      </c>
      <c r="BJ30" s="212">
        <v>0.183</v>
      </c>
    </row>
    <row r="31" spans="1:62" x14ac:dyDescent="0.2">
      <c r="A31" s="8">
        <v>1997</v>
      </c>
      <c r="B31" s="24">
        <v>0.56899999999999995</v>
      </c>
      <c r="C31" s="102">
        <v>0.66800000000000004</v>
      </c>
      <c r="D31" s="24">
        <v>0.112541155429929</v>
      </c>
      <c r="E31" s="24"/>
      <c r="F31" s="13">
        <f t="shared" si="6"/>
        <v>0.65749999999999997</v>
      </c>
      <c r="G31" s="20"/>
      <c r="H31" s="21"/>
      <c r="I31" s="23">
        <v>47.012753090917478</v>
      </c>
      <c r="J31" s="23">
        <v>8.0699999999999994E-2</v>
      </c>
      <c r="K31" s="13">
        <v>7.8E-2</v>
      </c>
      <c r="L31" s="24"/>
      <c r="M31" s="13">
        <f t="shared" si="7"/>
        <v>0.95640000000000003</v>
      </c>
      <c r="N31" s="20"/>
      <c r="P31" s="25">
        <v>8.5999999999999993E-2</v>
      </c>
      <c r="Q31" s="25">
        <v>0.22500000000000001</v>
      </c>
      <c r="R31" s="17">
        <v>5.7072391690964501E-2</v>
      </c>
      <c r="S31" s="16"/>
      <c r="T31" s="213">
        <f t="shared" si="8"/>
        <v>1.2E-2</v>
      </c>
      <c r="U31" s="26"/>
      <c r="V31" s="15"/>
      <c r="W31" s="17">
        <v>0.72499999999999998</v>
      </c>
      <c r="X31" s="17">
        <v>6.1499999999999999E-2</v>
      </c>
      <c r="Y31" s="17">
        <v>0.42199999999999999</v>
      </c>
      <c r="Z31" s="15"/>
      <c r="AA31" s="213">
        <f t="shared" si="9"/>
        <v>0.01</v>
      </c>
      <c r="AB31" s="15"/>
      <c r="AE31" s="48">
        <v>1974</v>
      </c>
      <c r="AF31" s="47">
        <v>65456988.462207966</v>
      </c>
      <c r="AG31" s="47">
        <v>76542610.79225859</v>
      </c>
      <c r="AH31" s="43">
        <f t="shared" si="5"/>
        <v>0.35824667725425502</v>
      </c>
      <c r="AI31" s="43">
        <f t="shared" si="4"/>
        <v>0.35251995412407444</v>
      </c>
      <c r="AJ31" s="49">
        <v>3345.0099999999993</v>
      </c>
      <c r="AK31" s="50">
        <v>503</v>
      </c>
      <c r="AL31" s="40">
        <v>526.41140000000007</v>
      </c>
      <c r="AM31" s="40">
        <v>67.161555506579603</v>
      </c>
      <c r="AZ31" s="1">
        <v>1997</v>
      </c>
      <c r="BA31" s="14">
        <v>0.65749999999999997</v>
      </c>
      <c r="BB31" s="212">
        <v>26.478999999999999</v>
      </c>
      <c r="BC31" s="212">
        <v>0.95640000000000003</v>
      </c>
      <c r="BD31" s="212">
        <v>56.075800000000001</v>
      </c>
      <c r="BF31" s="1">
        <v>1997</v>
      </c>
      <c r="BG31" s="14">
        <v>1.2E-2</v>
      </c>
      <c r="BH31" s="212">
        <v>9.6999999999999989E-2</v>
      </c>
      <c r="BI31" s="212">
        <v>0.01</v>
      </c>
      <c r="BJ31" s="212">
        <v>0.87</v>
      </c>
    </row>
    <row r="32" spans="1:62" x14ac:dyDescent="0.2">
      <c r="A32" s="8">
        <v>1998</v>
      </c>
      <c r="B32" s="24">
        <v>0.53800000000000003</v>
      </c>
      <c r="C32" s="102">
        <v>0.49299999999999999</v>
      </c>
      <c r="D32" s="24">
        <v>9.1972863514997005E-2</v>
      </c>
      <c r="E32" s="24"/>
      <c r="F32" s="13">
        <f t="shared" si="6"/>
        <v>0.754</v>
      </c>
      <c r="G32" s="20"/>
      <c r="H32" s="21"/>
      <c r="I32" s="23">
        <v>33.644740305484099</v>
      </c>
      <c r="J32" s="23">
        <v>6.7199999999999996E-2</v>
      </c>
      <c r="K32" s="13">
        <v>0.16</v>
      </c>
      <c r="L32" s="24"/>
      <c r="M32" s="13">
        <f t="shared" si="7"/>
        <v>0.76170000000000004</v>
      </c>
      <c r="N32" s="20"/>
      <c r="P32" s="25">
        <v>8.7999999999999995E-2</v>
      </c>
      <c r="Q32" s="17">
        <v>0.3</v>
      </c>
      <c r="R32" s="17">
        <v>5.2024737761472803E-2</v>
      </c>
      <c r="S32" s="16"/>
      <c r="T32" s="213">
        <f t="shared" si="8"/>
        <v>1.2E-2</v>
      </c>
      <c r="U32" s="26"/>
      <c r="V32" s="15"/>
      <c r="W32" s="17">
        <v>0.42499999999999999</v>
      </c>
      <c r="X32" s="17">
        <v>6.3500000000000001E-2</v>
      </c>
      <c r="Y32" s="17">
        <v>0.45</v>
      </c>
      <c r="Z32" s="15"/>
      <c r="AA32" s="213">
        <f t="shared" si="9"/>
        <v>1.2E-2</v>
      </c>
      <c r="AB32" s="15"/>
      <c r="AE32" s="48">
        <v>1975</v>
      </c>
      <c r="AF32" s="47">
        <v>94274897.890589625</v>
      </c>
      <c r="AG32" s="47">
        <v>80451434.727950245</v>
      </c>
      <c r="AH32" s="43">
        <f t="shared" si="5"/>
        <v>0.51596735064106047</v>
      </c>
      <c r="AI32" s="43">
        <f t="shared" si="4"/>
        <v>0.37052219392523456</v>
      </c>
      <c r="AJ32" s="49">
        <v>4280.17</v>
      </c>
      <c r="AK32" s="50">
        <v>487</v>
      </c>
      <c r="AL32" s="40">
        <v>627.82225000000005</v>
      </c>
      <c r="AM32" s="40">
        <v>76.129117269638527</v>
      </c>
      <c r="AO32" s="5"/>
      <c r="AP32" s="5"/>
      <c r="AQ32" s="5"/>
      <c r="AR32" s="5"/>
      <c r="AZ32" s="1">
        <v>1998</v>
      </c>
      <c r="BA32" s="14">
        <v>0.754</v>
      </c>
      <c r="BB32" s="212">
        <v>28.964600000000001</v>
      </c>
      <c r="BC32" s="212">
        <v>0.76170000000000004</v>
      </c>
      <c r="BD32" s="212">
        <v>46.385300000000001</v>
      </c>
      <c r="BF32" s="1">
        <v>1998</v>
      </c>
      <c r="BG32" s="14">
        <v>1.2E-2</v>
      </c>
      <c r="BH32" s="212">
        <v>0.14499999999999999</v>
      </c>
      <c r="BI32" s="212">
        <v>1.2E-2</v>
      </c>
      <c r="BJ32" s="212">
        <v>0.16500000000000001</v>
      </c>
    </row>
    <row r="33" spans="1:62" x14ac:dyDescent="0.2">
      <c r="A33" s="8">
        <v>1999</v>
      </c>
      <c r="B33" s="24">
        <v>0.52600000000000002</v>
      </c>
      <c r="C33" s="102">
        <v>0.53100000000000003</v>
      </c>
      <c r="D33" s="24">
        <v>7.9317935817964799E-2</v>
      </c>
      <c r="E33" s="24">
        <v>18.26341</v>
      </c>
      <c r="F33" s="13">
        <f t="shared" si="6"/>
        <v>0.67700000000000005</v>
      </c>
      <c r="G33" s="20"/>
      <c r="H33" s="21"/>
      <c r="I33" s="23">
        <v>46.890783555699159</v>
      </c>
      <c r="J33" s="23">
        <v>9.8500000000000004E-2</v>
      </c>
      <c r="K33" s="13">
        <v>8.1000000000000003E-2</v>
      </c>
      <c r="L33" s="24"/>
      <c r="M33" s="13">
        <f t="shared" si="7"/>
        <v>0.61199999999999999</v>
      </c>
      <c r="N33" s="20"/>
      <c r="P33" s="25">
        <v>0.09</v>
      </c>
      <c r="Q33" s="25">
        <v>0.23699999999999999</v>
      </c>
      <c r="R33" s="17">
        <v>6.0956171463918997E-2</v>
      </c>
      <c r="S33" s="29">
        <v>0.15668029999999999</v>
      </c>
      <c r="T33" s="213">
        <f t="shared" si="8"/>
        <v>1.3000000000000001E-2</v>
      </c>
      <c r="U33" s="26"/>
      <c r="V33" s="15"/>
      <c r="W33" s="17">
        <v>0.318</v>
      </c>
      <c r="X33" s="17">
        <v>0.15640000000000001</v>
      </c>
      <c r="Y33" s="17">
        <v>0.42</v>
      </c>
      <c r="Z33" s="15"/>
      <c r="AA33" s="213">
        <f t="shared" si="9"/>
        <v>1.3999999999999999E-2</v>
      </c>
      <c r="AB33" s="15"/>
      <c r="AE33" s="48">
        <v>1976</v>
      </c>
      <c r="AF33" s="47">
        <v>81800140.497237578</v>
      </c>
      <c r="AG33" s="47">
        <v>77596045.529293433</v>
      </c>
      <c r="AH33" s="43">
        <f t="shared" si="5"/>
        <v>0.44769289300539405</v>
      </c>
      <c r="AI33" s="43">
        <f t="shared" si="4"/>
        <v>0.357371588544804</v>
      </c>
      <c r="AJ33" s="49">
        <v>3038.31</v>
      </c>
      <c r="AK33" s="50">
        <v>629</v>
      </c>
      <c r="AL33" s="40">
        <v>297.7824</v>
      </c>
      <c r="AM33" s="40">
        <v>30.105307010540979</v>
      </c>
      <c r="AZ33" s="1">
        <v>1999</v>
      </c>
      <c r="BA33" s="14">
        <v>0.67700000000000005</v>
      </c>
      <c r="BB33" s="212">
        <v>28.055399999999999</v>
      </c>
      <c r="BC33" s="212">
        <v>0.61199999999999999</v>
      </c>
      <c r="BD33" s="212">
        <v>37.190300000000001</v>
      </c>
      <c r="BF33" s="1">
        <v>1999</v>
      </c>
      <c r="BG33" s="14">
        <v>1.3000000000000001E-2</v>
      </c>
      <c r="BH33" s="212">
        <v>0.115</v>
      </c>
      <c r="BI33" s="212">
        <v>1.3999999999999999E-2</v>
      </c>
      <c r="BJ33" s="212">
        <v>0.105</v>
      </c>
    </row>
    <row r="34" spans="1:62" x14ac:dyDescent="0.2">
      <c r="A34" s="8">
        <v>2000</v>
      </c>
      <c r="B34" s="24">
        <v>0.55700000000000005</v>
      </c>
      <c r="C34" s="102">
        <v>0.80700000000000005</v>
      </c>
      <c r="D34" s="24">
        <v>8.0837485307566306E-2</v>
      </c>
      <c r="E34" s="24">
        <v>22.393989999999999</v>
      </c>
      <c r="F34" s="13">
        <f t="shared" si="6"/>
        <v>0.76100000000000001</v>
      </c>
      <c r="G34" s="20"/>
      <c r="H34" s="21"/>
      <c r="I34" s="23">
        <v>71.369906084496108</v>
      </c>
      <c r="J34" s="23">
        <v>7.7100000000000002E-2</v>
      </c>
      <c r="K34" s="13">
        <v>5.1999999999999998E-2</v>
      </c>
      <c r="L34" s="24"/>
      <c r="M34" s="13">
        <f t="shared" si="7"/>
        <v>0.92320000000000002</v>
      </c>
      <c r="N34" s="20"/>
      <c r="P34" s="25">
        <v>0.09</v>
      </c>
      <c r="Q34" s="25">
        <v>0.191</v>
      </c>
      <c r="R34" s="17">
        <v>4.0200370386443599E-2</v>
      </c>
      <c r="S34" s="29">
        <v>0.14021239999999999</v>
      </c>
      <c r="T34" s="213">
        <f t="shared" si="8"/>
        <v>1.3000000000000001E-2</v>
      </c>
      <c r="U34" s="26"/>
      <c r="V34" s="15"/>
      <c r="W34" s="17">
        <v>0.21199999999999999</v>
      </c>
      <c r="X34" s="17">
        <v>5.6000000000000001E-2</v>
      </c>
      <c r="Y34" s="17">
        <v>0.41399999999999998</v>
      </c>
      <c r="Z34" s="17"/>
      <c r="AA34" s="213">
        <f t="shared" si="9"/>
        <v>1.4999999999999999E-2</v>
      </c>
      <c r="AB34" s="15"/>
      <c r="AE34" s="48">
        <v>1977</v>
      </c>
      <c r="AF34" s="47">
        <v>83406797.569251522</v>
      </c>
      <c r="AG34" s="47">
        <v>97041390.946881339</v>
      </c>
      <c r="AH34" s="43">
        <f t="shared" si="5"/>
        <v>0.45648614138204924</v>
      </c>
      <c r="AI34" s="43">
        <f t="shared" si="4"/>
        <v>0.44692787887228475</v>
      </c>
      <c r="AJ34" s="49">
        <v>3642.19</v>
      </c>
      <c r="AK34" s="50">
        <v>624</v>
      </c>
      <c r="AL34" s="40">
        <v>481.85570000000001</v>
      </c>
      <c r="AM34" s="40">
        <v>252.25599422478831</v>
      </c>
      <c r="AO34" s="5"/>
      <c r="AP34" s="5"/>
      <c r="AQ34" s="5"/>
      <c r="AR34" s="5"/>
      <c r="AZ34" s="1">
        <v>2000</v>
      </c>
      <c r="BA34" s="14">
        <v>0.76100000000000001</v>
      </c>
      <c r="BB34" s="212">
        <v>28.180700000000002</v>
      </c>
      <c r="BC34" s="212">
        <v>0.92320000000000002</v>
      </c>
      <c r="BD34" s="212">
        <v>51.859099999999998</v>
      </c>
      <c r="BF34" s="1">
        <v>2000</v>
      </c>
      <c r="BG34" s="14">
        <v>1.3000000000000001E-2</v>
      </c>
      <c r="BH34" s="212">
        <v>0.16500000000000001</v>
      </c>
      <c r="BI34" s="212">
        <v>1.4999999999999999E-2</v>
      </c>
      <c r="BJ34" s="212">
        <v>0.73499999999999999</v>
      </c>
    </row>
    <row r="35" spans="1:62" x14ac:dyDescent="0.2">
      <c r="A35" s="8">
        <v>2001</v>
      </c>
      <c r="B35" s="24">
        <v>0.50700000000000001</v>
      </c>
      <c r="C35" s="102">
        <v>0.67400000000000004</v>
      </c>
      <c r="D35" s="24">
        <v>0.115729127726929</v>
      </c>
      <c r="E35" s="24">
        <v>26.385259999999999</v>
      </c>
      <c r="F35" s="13">
        <f t="shared" si="6"/>
        <v>0.88009999999999999</v>
      </c>
      <c r="G35" s="20"/>
      <c r="H35" s="21"/>
      <c r="I35" s="23">
        <v>73.866480620712466</v>
      </c>
      <c r="J35" s="23">
        <v>6.4899999999999999E-2</v>
      </c>
      <c r="K35" s="13">
        <v>0.17899999999999999</v>
      </c>
      <c r="L35" s="18">
        <v>0.89</v>
      </c>
      <c r="M35" s="13">
        <f t="shared" si="7"/>
        <v>1.1415</v>
      </c>
      <c r="N35" s="20"/>
      <c r="P35" s="25">
        <v>9.1999999999999998E-2</v>
      </c>
      <c r="Q35" s="25">
        <v>0.23499999999999999</v>
      </c>
      <c r="R35" s="17">
        <v>5.3152000486440101E-2</v>
      </c>
      <c r="S35" s="29">
        <v>0.15254609999999999</v>
      </c>
      <c r="T35" s="213">
        <f t="shared" si="8"/>
        <v>1.3000000000000001E-2</v>
      </c>
      <c r="U35" s="26"/>
      <c r="V35" s="15"/>
      <c r="W35" s="17">
        <v>0.17199999999999999</v>
      </c>
      <c r="X35" s="17">
        <v>0.13239999999999999</v>
      </c>
      <c r="Y35" s="17">
        <v>0.42199999999999999</v>
      </c>
      <c r="Z35" s="17">
        <v>1.3707865168539326</v>
      </c>
      <c r="AA35" s="213">
        <f t="shared" si="9"/>
        <v>1.2E-2</v>
      </c>
      <c r="AB35" s="15"/>
      <c r="AE35" s="48">
        <v>1978</v>
      </c>
      <c r="AF35" s="47">
        <v>72559362.342783347</v>
      </c>
      <c r="AG35" s="47">
        <v>86033714.294408739</v>
      </c>
      <c r="AH35" s="43">
        <f t="shared" si="5"/>
        <v>0.39711803237018073</v>
      </c>
      <c r="AI35" s="43">
        <f t="shared" si="4"/>
        <v>0.39623159835117727</v>
      </c>
      <c r="AJ35" s="49">
        <v>3240.71</v>
      </c>
      <c r="AK35" s="50">
        <v>655</v>
      </c>
      <c r="AL35" s="40">
        <v>424.23644999999999</v>
      </c>
      <c r="AM35" s="40">
        <v>168.22643198046174</v>
      </c>
      <c r="AZ35" s="1">
        <v>2001</v>
      </c>
      <c r="BA35" s="14">
        <v>0.88009999999999999</v>
      </c>
      <c r="BB35" s="212">
        <v>29.553899999999999</v>
      </c>
      <c r="BC35" s="212">
        <v>1.1415</v>
      </c>
      <c r="BD35" s="212">
        <v>61.838500000000003</v>
      </c>
      <c r="BF35" s="1">
        <v>2001</v>
      </c>
      <c r="BG35" s="14">
        <v>1.3000000000000001E-2</v>
      </c>
      <c r="BH35" s="212">
        <v>0.34899999999999998</v>
      </c>
      <c r="BI35" s="212">
        <v>1.2E-2</v>
      </c>
      <c r="BJ35" s="212">
        <v>0.36899999999999999</v>
      </c>
    </row>
    <row r="36" spans="1:62" x14ac:dyDescent="0.2">
      <c r="A36" s="8">
        <v>2002</v>
      </c>
      <c r="B36" s="24">
        <v>0.53200000000000003</v>
      </c>
      <c r="C36" s="102">
        <v>0.81499999999999995</v>
      </c>
      <c r="D36" s="24">
        <v>0.11788489079296</v>
      </c>
      <c r="E36" s="24">
        <v>30.80509</v>
      </c>
      <c r="F36" s="13">
        <f t="shared" si="6"/>
        <v>1.2125999999999999</v>
      </c>
      <c r="G36" s="20"/>
      <c r="H36" s="21"/>
      <c r="I36" s="23">
        <v>54.920760569167832</v>
      </c>
      <c r="J36" s="23">
        <v>5.2600000000000001E-2</v>
      </c>
      <c r="K36" s="13">
        <v>0.21</v>
      </c>
      <c r="L36" s="18">
        <v>1.38</v>
      </c>
      <c r="M36" s="13">
        <f t="shared" si="7"/>
        <v>1.0630999999999999</v>
      </c>
      <c r="N36" s="20"/>
      <c r="P36" s="25">
        <v>9.2999999999999999E-2</v>
      </c>
      <c r="Q36" s="25">
        <v>0.23100000000000001</v>
      </c>
      <c r="R36" s="17">
        <v>5.9501216471997603E-2</v>
      </c>
      <c r="S36" s="29">
        <v>0.13604160000000001</v>
      </c>
      <c r="T36" s="213">
        <f t="shared" si="8"/>
        <v>1.1000000000000001E-2</v>
      </c>
      <c r="U36" s="26"/>
      <c r="V36" s="15"/>
      <c r="W36" s="17">
        <v>0.23399999999999999</v>
      </c>
      <c r="X36" s="17">
        <v>6.13E-2</v>
      </c>
      <c r="Y36" s="17">
        <v>0.43</v>
      </c>
      <c r="Z36" s="17">
        <v>1.0978260869565217</v>
      </c>
      <c r="AA36" s="213">
        <f t="shared" si="9"/>
        <v>1.2E-2</v>
      </c>
      <c r="AB36" s="15"/>
      <c r="AE36" s="48">
        <v>1979</v>
      </c>
      <c r="AF36" s="47">
        <v>70672589.006360963</v>
      </c>
      <c r="AG36" s="47">
        <v>95147094.607204035</v>
      </c>
      <c r="AH36" s="43">
        <f t="shared" si="5"/>
        <v>0.38679170519893458</v>
      </c>
      <c r="AI36" s="43">
        <f t="shared" si="4"/>
        <v>0.438203623822077</v>
      </c>
      <c r="AJ36" s="49">
        <v>2401.7200000000003</v>
      </c>
      <c r="AK36" s="50">
        <v>630</v>
      </c>
      <c r="AL36" s="40">
        <v>371.22360000000003</v>
      </c>
      <c r="AM36" s="40">
        <v>299.49249217940087</v>
      </c>
      <c r="AO36" s="5"/>
      <c r="AP36" s="5"/>
      <c r="AQ36" s="5"/>
      <c r="AR36" s="5"/>
      <c r="AZ36" s="1">
        <v>2002</v>
      </c>
      <c r="BA36" s="14">
        <v>1.2125999999999999</v>
      </c>
      <c r="BB36" s="212">
        <v>41.898000000000003</v>
      </c>
      <c r="BC36" s="212">
        <v>1.0630999999999999</v>
      </c>
      <c r="BD36" s="212">
        <v>57.4133</v>
      </c>
      <c r="BF36" s="1">
        <v>2002</v>
      </c>
      <c r="BG36" s="14">
        <v>1.1000000000000001E-2</v>
      </c>
      <c r="BH36" s="212">
        <v>0.23</v>
      </c>
      <c r="BI36" s="212">
        <v>1.2E-2</v>
      </c>
      <c r="BJ36" s="212">
        <v>0.83799999999999997</v>
      </c>
    </row>
    <row r="37" spans="1:62" x14ac:dyDescent="0.2">
      <c r="A37" s="8">
        <v>2003</v>
      </c>
      <c r="B37" s="24">
        <v>0.57299999999999995</v>
      </c>
      <c r="C37" s="102">
        <v>0.67800000000000005</v>
      </c>
      <c r="D37" s="24">
        <v>0.105626783242263</v>
      </c>
      <c r="E37" s="24">
        <v>35.330469999999998</v>
      </c>
      <c r="F37" s="13">
        <f t="shared" si="6"/>
        <v>1.4316</v>
      </c>
      <c r="G37" s="20"/>
      <c r="H37" s="21"/>
      <c r="I37" s="23">
        <v>60.819781983562727</v>
      </c>
      <c r="J37" s="23">
        <v>7.4800000000000005E-2</v>
      </c>
      <c r="K37" s="13">
        <v>0.246</v>
      </c>
      <c r="L37" s="18">
        <v>1.68</v>
      </c>
      <c r="M37" s="13">
        <f t="shared" si="7"/>
        <v>1.0445</v>
      </c>
      <c r="N37" s="20"/>
      <c r="P37" s="25">
        <v>9.4E-2</v>
      </c>
      <c r="Q37" s="25">
        <v>0.20599999999999999</v>
      </c>
      <c r="R37" s="17">
        <v>5.74589283811483E-2</v>
      </c>
      <c r="S37" s="29">
        <v>0.1230521</v>
      </c>
      <c r="T37" s="213">
        <f t="shared" si="8"/>
        <v>1.2E-2</v>
      </c>
      <c r="U37" s="26"/>
      <c r="V37" s="15"/>
      <c r="W37" s="17">
        <v>0.193</v>
      </c>
      <c r="X37" s="17">
        <v>4.8000000000000001E-2</v>
      </c>
      <c r="Y37" s="17">
        <v>0.436</v>
      </c>
      <c r="Z37" s="17">
        <v>0.62797619047619047</v>
      </c>
      <c r="AA37" s="213">
        <f t="shared" si="9"/>
        <v>1.3000000000000001E-2</v>
      </c>
      <c r="AB37" s="15"/>
      <c r="AE37" s="48">
        <v>1980</v>
      </c>
      <c r="AF37" s="47">
        <v>78709975.231321335</v>
      </c>
      <c r="AG37" s="47">
        <v>108080581.73087817</v>
      </c>
      <c r="AH37" s="43">
        <f t="shared" si="5"/>
        <v>0.43078039115205624</v>
      </c>
      <c r="AI37" s="43">
        <f t="shared" si="4"/>
        <v>0.49776929894486804</v>
      </c>
      <c r="AJ37" s="49">
        <v>3253.2100000000005</v>
      </c>
      <c r="AK37" s="50">
        <v>1082</v>
      </c>
      <c r="AL37" s="40">
        <v>614.40219999999988</v>
      </c>
      <c r="AM37" s="40">
        <v>323.62816375244989</v>
      </c>
      <c r="AZ37" s="1">
        <v>2003</v>
      </c>
      <c r="BA37" s="14">
        <v>1.4316</v>
      </c>
      <c r="BB37" s="212">
        <v>51.190399999999997</v>
      </c>
      <c r="BC37" s="212">
        <v>1.0445</v>
      </c>
      <c r="BD37" s="212">
        <v>56.860300000000002</v>
      </c>
      <c r="BF37" s="1">
        <v>2003</v>
      </c>
      <c r="BG37" s="14">
        <v>1.2E-2</v>
      </c>
      <c r="BH37" s="212">
        <v>0.13400000000000001</v>
      </c>
      <c r="BI37" s="212">
        <v>1.3000000000000001E-2</v>
      </c>
      <c r="BJ37" s="212">
        <v>1.3019999999999998</v>
      </c>
    </row>
    <row r="38" spans="1:62" x14ac:dyDescent="0.2">
      <c r="A38" s="8">
        <v>2004</v>
      </c>
      <c r="B38" s="24">
        <v>0.67600000000000005</v>
      </c>
      <c r="C38" s="102">
        <v>0.996</v>
      </c>
      <c r="D38" s="24">
        <v>9.8811011411344102E-2</v>
      </c>
      <c r="E38" s="24">
        <v>28.353079999999999</v>
      </c>
      <c r="F38" s="13">
        <f t="shared" si="6"/>
        <v>1.4754</v>
      </c>
      <c r="G38" s="20"/>
      <c r="H38" s="21"/>
      <c r="I38" s="23">
        <v>55.150651704019651</v>
      </c>
      <c r="J38" s="23">
        <v>7.7200000000000005E-2</v>
      </c>
      <c r="K38" s="13">
        <v>0.27100000000000002</v>
      </c>
      <c r="L38" s="18">
        <v>1.57</v>
      </c>
      <c r="M38" s="13">
        <f t="shared" si="7"/>
        <v>0.99080000000000001</v>
      </c>
      <c r="N38" s="20"/>
      <c r="P38" s="25">
        <v>9.0999999999999998E-2</v>
      </c>
      <c r="Q38" s="25">
        <v>0.17100000000000001</v>
      </c>
      <c r="R38" s="17">
        <v>4.6315314502594102E-2</v>
      </c>
      <c r="S38" s="29">
        <v>0.1242634</v>
      </c>
      <c r="T38" s="213">
        <f t="shared" si="8"/>
        <v>1.2E-2</v>
      </c>
      <c r="U38" s="26"/>
      <c r="V38" s="15"/>
      <c r="W38" s="17">
        <v>0.17600000000000002</v>
      </c>
      <c r="X38" s="17">
        <v>9.5100000000000004E-2</v>
      </c>
      <c r="Y38" s="17">
        <v>0.45100000000000001</v>
      </c>
      <c r="Z38" s="17">
        <v>0.61783439490445857</v>
      </c>
      <c r="AA38" s="213">
        <f t="shared" si="9"/>
        <v>1.3999999999999999E-2</v>
      </c>
      <c r="AB38" s="15"/>
      <c r="AE38" s="48">
        <v>1981</v>
      </c>
      <c r="AF38" s="47">
        <v>88903115.337491035</v>
      </c>
      <c r="AG38" s="47">
        <v>111184371.34675159</v>
      </c>
      <c r="AH38" s="43">
        <f t="shared" si="5"/>
        <v>0.48656753717895734</v>
      </c>
      <c r="AI38" s="43">
        <f t="shared" si="4"/>
        <v>0.51206392205313989</v>
      </c>
      <c r="AJ38" s="49">
        <v>3079.4500000000003</v>
      </c>
      <c r="AK38" s="50">
        <v>1011</v>
      </c>
      <c r="AL38" s="40">
        <v>1179.2708</v>
      </c>
      <c r="AM38" s="40">
        <v>375.09186516409255</v>
      </c>
      <c r="AO38" s="5"/>
      <c r="AP38" s="5"/>
      <c r="AQ38" s="5"/>
      <c r="AR38" s="5"/>
      <c r="AZ38" s="1">
        <v>2004</v>
      </c>
      <c r="BA38" s="14">
        <v>1.4754</v>
      </c>
      <c r="BB38" s="212">
        <v>51.084099999999999</v>
      </c>
      <c r="BC38" s="212">
        <v>0.99080000000000001</v>
      </c>
      <c r="BD38" s="212">
        <v>54.173699999999997</v>
      </c>
      <c r="BF38" s="1">
        <v>2004</v>
      </c>
      <c r="BG38" s="14">
        <v>1.2E-2</v>
      </c>
      <c r="BH38" s="212">
        <v>0.128</v>
      </c>
      <c r="BI38" s="212">
        <v>1.3999999999999999E-2</v>
      </c>
      <c r="BJ38" s="212">
        <v>5.3550000000000004</v>
      </c>
    </row>
    <row r="39" spans="1:62" x14ac:dyDescent="0.2">
      <c r="A39" s="8">
        <v>2005</v>
      </c>
      <c r="B39" s="24">
        <v>0.68</v>
      </c>
      <c r="C39" s="102">
        <v>0.71099999999999997</v>
      </c>
      <c r="D39" s="24">
        <v>9.5885760348760493E-2</v>
      </c>
      <c r="E39" s="24">
        <v>31.036809999999999</v>
      </c>
      <c r="F39" s="13">
        <f t="shared" si="6"/>
        <v>1.3836999999999999</v>
      </c>
      <c r="G39" s="20"/>
      <c r="H39" s="21"/>
      <c r="I39" s="23">
        <v>47.022540379087232</v>
      </c>
      <c r="J39" s="23">
        <v>6.8599999999999994E-2</v>
      </c>
      <c r="K39" s="13">
        <v>0.16300000000000001</v>
      </c>
      <c r="L39" s="18">
        <v>0.82</v>
      </c>
      <c r="M39" s="13">
        <f t="shared" si="7"/>
        <v>1.0868</v>
      </c>
      <c r="N39" s="20"/>
      <c r="P39" s="25">
        <v>9.1999999999999998E-2</v>
      </c>
      <c r="Q39" s="25">
        <v>0.188</v>
      </c>
      <c r="R39" s="17">
        <v>3.6787856705729802E-2</v>
      </c>
      <c r="S39" s="29">
        <v>0.1546477</v>
      </c>
      <c r="T39" s="213">
        <f t="shared" si="8"/>
        <v>1.3000000000000001E-2</v>
      </c>
      <c r="U39" s="26"/>
      <c r="V39" s="15"/>
      <c r="W39" s="17">
        <v>0.157</v>
      </c>
      <c r="X39" s="17">
        <v>5.7500000000000002E-2</v>
      </c>
      <c r="Y39" s="17">
        <v>0.438</v>
      </c>
      <c r="Z39" s="17">
        <v>0.74390243902439024</v>
      </c>
      <c r="AA39" s="213">
        <f t="shared" si="9"/>
        <v>1.6E-2</v>
      </c>
      <c r="AB39" s="15"/>
      <c r="AE39" s="48">
        <v>1982</v>
      </c>
      <c r="AF39" s="47">
        <v>110995083.81667544</v>
      </c>
      <c r="AG39" s="47">
        <v>138528384.28412828</v>
      </c>
      <c r="AH39" s="43">
        <f t="shared" ref="AH39:AH66" si="10">AF39/$AF$73</f>
        <v>0.607477076215312</v>
      </c>
      <c r="AI39" s="43">
        <f t="shared" ref="AI39:AI71" si="11">AG39/$AG$73</f>
        <v>0.63799783110693231</v>
      </c>
      <c r="AJ39" s="49">
        <v>3614.3399999999997</v>
      </c>
      <c r="AK39" s="50">
        <v>2006</v>
      </c>
      <c r="AL39" s="40">
        <v>1373.2264500000001</v>
      </c>
      <c r="AM39" s="40">
        <v>973.61760968967326</v>
      </c>
      <c r="AZ39" s="1">
        <v>2005</v>
      </c>
      <c r="BA39" s="14">
        <v>1.3836999999999999</v>
      </c>
      <c r="BB39" s="212">
        <v>46.738700000000001</v>
      </c>
      <c r="BC39" s="212">
        <v>1.0868</v>
      </c>
      <c r="BD39" s="212">
        <v>62.453699999999998</v>
      </c>
      <c r="BF39" s="1">
        <v>2005</v>
      </c>
      <c r="BG39" s="14">
        <v>1.3000000000000001E-2</v>
      </c>
      <c r="BH39" s="212">
        <v>0.16200000000000001</v>
      </c>
      <c r="BI39" s="212">
        <v>1.6E-2</v>
      </c>
      <c r="BJ39" s="212">
        <v>0.83400000000000007</v>
      </c>
    </row>
    <row r="40" spans="1:62" x14ac:dyDescent="0.2">
      <c r="A40" s="8">
        <v>2006</v>
      </c>
      <c r="B40" s="24">
        <v>0.52900000000000003</v>
      </c>
      <c r="C40" s="102">
        <v>0.77</v>
      </c>
      <c r="D40" s="24">
        <v>0.13342369374201901</v>
      </c>
      <c r="E40" s="24">
        <v>54.23995</v>
      </c>
      <c r="F40" s="13">
        <f t="shared" si="6"/>
        <v>1.2845</v>
      </c>
      <c r="G40" s="20"/>
      <c r="H40" s="21"/>
      <c r="I40" s="23">
        <v>48.513348940054946</v>
      </c>
      <c r="J40" s="23">
        <v>0.14979999999999999</v>
      </c>
      <c r="K40" s="13">
        <v>0.158</v>
      </c>
      <c r="L40" s="18">
        <v>1.18</v>
      </c>
      <c r="M40" s="13">
        <f t="shared" si="7"/>
        <v>0.90739999999999998</v>
      </c>
      <c r="N40" s="20"/>
      <c r="P40" s="25">
        <v>9.7000000000000003E-2</v>
      </c>
      <c r="Q40" s="25">
        <v>0.184</v>
      </c>
      <c r="R40" s="17">
        <v>5.9296947199960898E-2</v>
      </c>
      <c r="S40" s="29">
        <v>0.13211990000000001</v>
      </c>
      <c r="T40" s="213">
        <f t="shared" si="8"/>
        <v>1.4999999999999999E-2</v>
      </c>
      <c r="U40" s="26"/>
      <c r="V40" s="15"/>
      <c r="W40" s="17">
        <v>0.27899999999999997</v>
      </c>
      <c r="X40" s="17">
        <v>0.1313</v>
      </c>
      <c r="Y40" s="17">
        <v>0.435</v>
      </c>
      <c r="Z40" s="17">
        <v>0.71186440677966112</v>
      </c>
      <c r="AA40" s="213">
        <f t="shared" si="9"/>
        <v>1.4999999999999999E-2</v>
      </c>
      <c r="AB40" s="15"/>
      <c r="AE40" s="48">
        <v>1983</v>
      </c>
      <c r="AF40" s="47">
        <v>100919163.67089988</v>
      </c>
      <c r="AG40" s="47">
        <v>92197820.738175869</v>
      </c>
      <c r="AH40" s="43">
        <f t="shared" si="10"/>
        <v>0.55233147606923494</v>
      </c>
      <c r="AI40" s="43">
        <f t="shared" si="11"/>
        <v>0.42462062896146413</v>
      </c>
      <c r="AJ40" s="49">
        <v>4209.4000000000005</v>
      </c>
      <c r="AK40" s="50">
        <v>885</v>
      </c>
      <c r="AL40" s="40">
        <v>1311.3947499999999</v>
      </c>
      <c r="AM40" s="40">
        <v>511.63530075406169</v>
      </c>
      <c r="AO40" s="5"/>
      <c r="AP40" s="5"/>
      <c r="AQ40" s="5"/>
      <c r="AR40" s="5"/>
      <c r="AZ40" s="1">
        <v>2006</v>
      </c>
      <c r="BA40" s="14">
        <v>1.2845</v>
      </c>
      <c r="BB40" s="212">
        <v>41.611600000000003</v>
      </c>
      <c r="BC40" s="212">
        <v>0.90739999999999998</v>
      </c>
      <c r="BD40" s="212">
        <v>52.527999999999999</v>
      </c>
      <c r="BF40" s="1">
        <v>2006</v>
      </c>
      <c r="BG40" s="14">
        <v>1.4999999999999999E-2</v>
      </c>
      <c r="BH40" s="212">
        <v>0.23</v>
      </c>
      <c r="BI40" s="212">
        <v>1.4999999999999999E-2</v>
      </c>
      <c r="BJ40" s="212">
        <v>0.61599999999999999</v>
      </c>
    </row>
    <row r="41" spans="1:62" x14ac:dyDescent="0.2">
      <c r="A41" s="8">
        <v>2007</v>
      </c>
      <c r="B41" s="24">
        <v>0.80300000000000005</v>
      </c>
      <c r="C41" s="102">
        <v>0.87</v>
      </c>
      <c r="D41" s="24">
        <v>0.13611354199184</v>
      </c>
      <c r="E41" s="24">
        <v>47.89631</v>
      </c>
      <c r="F41" s="13">
        <f t="shared" si="6"/>
        <v>1.6448</v>
      </c>
      <c r="G41" s="24">
        <v>1.41E-2</v>
      </c>
      <c r="H41" s="21"/>
      <c r="I41" s="23">
        <v>32.973991617433803</v>
      </c>
      <c r="J41" s="23">
        <v>9.4E-2</v>
      </c>
      <c r="K41" s="13">
        <v>0.2</v>
      </c>
      <c r="L41" s="18">
        <v>0.75</v>
      </c>
      <c r="M41" s="13">
        <f t="shared" si="7"/>
        <v>0.8468</v>
      </c>
      <c r="N41" s="24">
        <v>5.2400000000000002E-2</v>
      </c>
      <c r="P41" s="25">
        <v>9.1999999999999998E-2</v>
      </c>
      <c r="Q41" s="25">
        <v>0.16900000000000001</v>
      </c>
      <c r="R41" s="17">
        <v>6.04524124360779E-2</v>
      </c>
      <c r="S41" s="29">
        <v>0.14388280000000001</v>
      </c>
      <c r="T41" s="213">
        <f t="shared" si="8"/>
        <v>1.3999999999999999E-2</v>
      </c>
      <c r="U41" s="29">
        <v>0.55500000000000005</v>
      </c>
      <c r="V41" s="15"/>
      <c r="W41" s="17">
        <v>0.33299999999999996</v>
      </c>
      <c r="X41" s="17">
        <v>0.19359999999999999</v>
      </c>
      <c r="Y41" s="17">
        <v>0.438</v>
      </c>
      <c r="Z41" s="17">
        <v>0.72</v>
      </c>
      <c r="AA41" s="213">
        <f t="shared" si="9"/>
        <v>1.7000000000000001E-2</v>
      </c>
      <c r="AB41" s="17">
        <v>7.5800000000000006E-2</v>
      </c>
      <c r="AE41" s="48">
        <v>1984</v>
      </c>
      <c r="AF41" s="47">
        <v>119485440.18111658</v>
      </c>
      <c r="AG41" s="47">
        <v>97643858.359354436</v>
      </c>
      <c r="AH41" s="43">
        <f t="shared" si="10"/>
        <v>0.65394487175133287</v>
      </c>
      <c r="AI41" s="43">
        <f t="shared" si="11"/>
        <v>0.44970256583955687</v>
      </c>
      <c r="AJ41" s="49">
        <v>4479.93</v>
      </c>
      <c r="AK41" s="50">
        <v>1156</v>
      </c>
      <c r="AL41" s="40">
        <v>1623.8720499999999</v>
      </c>
      <c r="AM41" s="40">
        <v>744.77968047650052</v>
      </c>
      <c r="AZ41" s="1">
        <v>2007</v>
      </c>
      <c r="BA41" s="14">
        <v>1.6448</v>
      </c>
      <c r="BB41" s="212">
        <v>53.9407</v>
      </c>
      <c r="BC41" s="212">
        <v>0.8468</v>
      </c>
      <c r="BD41" s="212">
        <v>46.8765</v>
      </c>
      <c r="BF41" s="1">
        <v>2007</v>
      </c>
      <c r="BG41" s="14">
        <v>1.3999999999999999E-2</v>
      </c>
      <c r="BH41" s="212">
        <v>0.121</v>
      </c>
      <c r="BI41" s="212">
        <v>1.7000000000000001E-2</v>
      </c>
      <c r="BJ41" s="212">
        <v>0.39500000000000002</v>
      </c>
    </row>
    <row r="42" spans="1:62" x14ac:dyDescent="0.2">
      <c r="A42" s="8">
        <v>2008</v>
      </c>
      <c r="B42" s="24">
        <v>0.67500000000000004</v>
      </c>
      <c r="C42" s="102">
        <v>0.63800000000000001</v>
      </c>
      <c r="D42" s="24">
        <v>0.209664946978837</v>
      </c>
      <c r="E42" s="24">
        <v>28.183599999999998</v>
      </c>
      <c r="F42" s="13">
        <f t="shared" si="6"/>
        <v>1.7447999999999999</v>
      </c>
      <c r="G42" s="24">
        <v>5.6099999999999997E-2</v>
      </c>
      <c r="H42" s="21"/>
      <c r="I42" s="23">
        <v>32.316789988791776</v>
      </c>
      <c r="J42" s="23">
        <v>0.1169</v>
      </c>
      <c r="K42" s="13">
        <v>0.22700000000000001</v>
      </c>
      <c r="L42" s="18">
        <v>1.32</v>
      </c>
      <c r="M42" s="13">
        <f t="shared" si="7"/>
        <v>0.74780000000000002</v>
      </c>
      <c r="N42" s="24">
        <v>6.6600000000000006E-2</v>
      </c>
      <c r="P42" s="25">
        <v>0.09</v>
      </c>
      <c r="Q42" s="25">
        <v>0.157</v>
      </c>
      <c r="R42" s="17">
        <v>7.00192254487675E-2</v>
      </c>
      <c r="S42" s="29">
        <v>0.15590770000000001</v>
      </c>
      <c r="T42" s="213">
        <f t="shared" si="8"/>
        <v>1.3999999999999999E-2</v>
      </c>
      <c r="U42" s="29">
        <v>0.30780000000000002</v>
      </c>
      <c r="V42" s="15"/>
      <c r="W42" s="17">
        <v>0.44</v>
      </c>
      <c r="X42" s="17">
        <v>4.9200000000000001E-2</v>
      </c>
      <c r="Y42" s="17">
        <v>0.433</v>
      </c>
      <c r="Z42" s="17">
        <v>0.70075757575757569</v>
      </c>
      <c r="AA42" s="213">
        <f t="shared" si="9"/>
        <v>1.4999999999999999E-2</v>
      </c>
      <c r="AB42" s="17">
        <v>8.9099999999999999E-2</v>
      </c>
      <c r="AE42" s="48">
        <v>1985</v>
      </c>
      <c r="AF42" s="47">
        <v>136680422.65138295</v>
      </c>
      <c r="AG42" s="47">
        <v>128602870.59761707</v>
      </c>
      <c r="AH42" s="43">
        <f t="shared" si="10"/>
        <v>0.74805316301460467</v>
      </c>
      <c r="AI42" s="43">
        <f t="shared" si="11"/>
        <v>0.59228549397587804</v>
      </c>
      <c r="AJ42" s="49">
        <v>6900.23</v>
      </c>
      <c r="AK42" s="50">
        <v>1967</v>
      </c>
      <c r="AL42" s="40">
        <v>3847.4711499999999</v>
      </c>
      <c r="AM42" s="40">
        <v>785.54911654773707</v>
      </c>
      <c r="AO42" s="5"/>
      <c r="AP42" s="5"/>
      <c r="AQ42" s="5"/>
      <c r="AR42" s="5"/>
      <c r="AZ42" s="1">
        <v>2008</v>
      </c>
      <c r="BA42" s="14">
        <v>1.7447999999999999</v>
      </c>
      <c r="BB42" s="212">
        <v>58.258099999999999</v>
      </c>
      <c r="BC42" s="212">
        <v>0.74780000000000002</v>
      </c>
      <c r="BD42" s="212">
        <v>40.763399999999997</v>
      </c>
      <c r="BF42" s="1">
        <v>2008</v>
      </c>
      <c r="BG42" s="14">
        <v>1.3999999999999999E-2</v>
      </c>
      <c r="BH42" s="212">
        <v>0.106</v>
      </c>
      <c r="BI42" s="212">
        <v>1.4999999999999999E-2</v>
      </c>
      <c r="BJ42" s="212">
        <v>0.191</v>
      </c>
    </row>
    <row r="43" spans="1:62" x14ac:dyDescent="0.2">
      <c r="A43" s="8">
        <v>2009</v>
      </c>
      <c r="B43" s="24">
        <v>0.86199999999999999</v>
      </c>
      <c r="C43" s="102">
        <v>1.35</v>
      </c>
      <c r="D43" s="24">
        <v>0.20121274217330101</v>
      </c>
      <c r="E43" s="24">
        <v>45.236220000000003</v>
      </c>
      <c r="F43" s="13">
        <f t="shared" si="6"/>
        <v>1.6832</v>
      </c>
      <c r="G43" s="24">
        <v>0.19989999999999999</v>
      </c>
      <c r="H43" s="21"/>
      <c r="I43" s="23">
        <v>50.460931043672964</v>
      </c>
      <c r="J43" s="23">
        <v>0.14760000000000001</v>
      </c>
      <c r="K43" s="13">
        <v>0.191</v>
      </c>
      <c r="L43" s="18">
        <v>1.1599999999999999</v>
      </c>
      <c r="M43" s="13">
        <f t="shared" si="7"/>
        <v>0.90210000000000001</v>
      </c>
      <c r="N43" s="24">
        <v>5.0500000000000003E-2</v>
      </c>
      <c r="P43" s="25">
        <v>0.09</v>
      </c>
      <c r="Q43" s="25">
        <v>0.14499999999999999</v>
      </c>
      <c r="R43" s="17">
        <v>5.9515234535732001E-2</v>
      </c>
      <c r="S43" s="29">
        <v>0.1421596</v>
      </c>
      <c r="T43" s="213">
        <f t="shared" si="8"/>
        <v>1.3999999999999999E-2</v>
      </c>
      <c r="U43" s="29">
        <v>0.1108</v>
      </c>
      <c r="V43" s="15"/>
      <c r="W43" s="17">
        <v>0.18600000000000003</v>
      </c>
      <c r="X43" s="17">
        <v>0.12280000000000001</v>
      </c>
      <c r="Y43" s="17">
        <v>0.435</v>
      </c>
      <c r="Z43" s="17">
        <v>0.69396551724137945</v>
      </c>
      <c r="AA43" s="213">
        <f t="shared" si="9"/>
        <v>1.3000000000000001E-2</v>
      </c>
      <c r="AB43" s="17">
        <v>7.9200000000000007E-2</v>
      </c>
      <c r="AE43" s="48">
        <v>1986</v>
      </c>
      <c r="AF43" s="47">
        <v>157498999.23830223</v>
      </c>
      <c r="AG43" s="47">
        <v>137746417.08969173</v>
      </c>
      <c r="AH43" s="43">
        <f t="shared" si="10"/>
        <v>0.86199341695300724</v>
      </c>
      <c r="AI43" s="43">
        <f t="shared" si="11"/>
        <v>0.63439645095206065</v>
      </c>
      <c r="AJ43" s="49">
        <v>6589.380000000001</v>
      </c>
      <c r="AK43" s="50">
        <v>1121</v>
      </c>
      <c r="AL43" s="40">
        <v>3776.5596999999998</v>
      </c>
      <c r="AM43" s="40">
        <v>608.78498869021041</v>
      </c>
      <c r="AZ43" s="1">
        <v>2009</v>
      </c>
      <c r="BA43" s="14">
        <v>1.6832</v>
      </c>
      <c r="BB43" s="212">
        <v>57.966799999999999</v>
      </c>
      <c r="BC43" s="212">
        <v>0.90210000000000001</v>
      </c>
      <c r="BD43" s="212">
        <v>50.343899999999998</v>
      </c>
      <c r="BF43" s="1">
        <v>2009</v>
      </c>
      <c r="BG43" s="14">
        <v>1.3999999999999999E-2</v>
      </c>
      <c r="BH43" s="212">
        <v>0.111</v>
      </c>
      <c r="BI43" s="212">
        <v>1.3000000000000001E-2</v>
      </c>
      <c r="BJ43" s="212">
        <v>0.50700000000000001</v>
      </c>
    </row>
    <row r="44" spans="1:62" x14ac:dyDescent="0.2">
      <c r="A44" s="8">
        <v>2010</v>
      </c>
      <c r="B44" s="24">
        <v>0.754</v>
      </c>
      <c r="C44" s="102">
        <v>0.88300000000000001</v>
      </c>
      <c r="D44" s="24">
        <v>0.21712323416043799</v>
      </c>
      <c r="E44" s="24">
        <v>36.995579999999997</v>
      </c>
      <c r="F44" s="13">
        <f t="shared" si="6"/>
        <v>1.5607</v>
      </c>
      <c r="G44" s="24">
        <v>2.8400000000000002E-2</v>
      </c>
      <c r="H44" s="21"/>
      <c r="I44" s="23">
        <v>74.196829176661112</v>
      </c>
      <c r="J44" s="23">
        <v>0.14699999999999999</v>
      </c>
      <c r="K44" s="13">
        <v>0.19400000000000001</v>
      </c>
      <c r="L44" s="18">
        <v>2.61</v>
      </c>
      <c r="M44" s="13">
        <f t="shared" si="7"/>
        <v>1.0076000000000001</v>
      </c>
      <c r="N44" s="24">
        <v>6.5600000000000006E-2</v>
      </c>
      <c r="P44" s="25">
        <v>9.0999999999999998E-2</v>
      </c>
      <c r="Q44" s="25">
        <v>0.16600000000000001</v>
      </c>
      <c r="R44" s="17">
        <v>5.3631310756830898E-2</v>
      </c>
      <c r="S44" s="29">
        <v>0.17230970000000001</v>
      </c>
      <c r="T44" s="213">
        <f t="shared" si="8"/>
        <v>1.3999999999999999E-2</v>
      </c>
      <c r="U44" s="29">
        <v>0.2969</v>
      </c>
      <c r="V44" s="15"/>
      <c r="W44" s="17">
        <v>0.19800000000000001</v>
      </c>
      <c r="X44" s="17">
        <v>5.8400000000000001E-2</v>
      </c>
      <c r="Y44" s="17">
        <v>0.45100000000000001</v>
      </c>
      <c r="Z44" s="17">
        <v>0.63218390804597713</v>
      </c>
      <c r="AA44" s="213">
        <f t="shared" si="9"/>
        <v>1.3999999999999999E-2</v>
      </c>
      <c r="AB44" s="17">
        <v>7.4099999999999999E-2</v>
      </c>
      <c r="AE44" s="48">
        <v>1987</v>
      </c>
      <c r="AF44" s="47">
        <v>69476627.088064849</v>
      </c>
      <c r="AG44" s="47">
        <v>137297614.53495231</v>
      </c>
      <c r="AH44" s="43">
        <f t="shared" si="10"/>
        <v>0.38024619503389578</v>
      </c>
      <c r="AI44" s="43">
        <f t="shared" si="11"/>
        <v>0.63232947342973789</v>
      </c>
      <c r="AJ44" s="49">
        <v>6335.5499999999975</v>
      </c>
      <c r="AK44" s="50">
        <v>940</v>
      </c>
      <c r="AL44" s="40">
        <v>3321.4566000000004</v>
      </c>
      <c r="AM44" s="40">
        <v>386.1136732574858</v>
      </c>
      <c r="AZ44" s="1">
        <v>2010</v>
      </c>
      <c r="BA44" s="14">
        <v>1.5607</v>
      </c>
      <c r="BB44" s="212">
        <v>52.5122</v>
      </c>
      <c r="BC44" s="212">
        <v>1.0076000000000001</v>
      </c>
      <c r="BD44" s="212">
        <v>54.997</v>
      </c>
      <c r="BF44" s="1">
        <v>2010</v>
      </c>
      <c r="BG44" s="14">
        <v>1.3999999999999999E-2</v>
      </c>
      <c r="BH44" s="212">
        <v>0.126</v>
      </c>
      <c r="BI44" s="212">
        <v>1.3999999999999999E-2</v>
      </c>
      <c r="BJ44" s="212">
        <v>9.5259999999999998</v>
      </c>
    </row>
    <row r="45" spans="1:62" x14ac:dyDescent="0.2">
      <c r="A45" s="8">
        <v>2011</v>
      </c>
      <c r="B45" s="24">
        <v>0.70399999999999996</v>
      </c>
      <c r="C45" s="102">
        <v>1.2609999999999999</v>
      </c>
      <c r="D45" s="24">
        <v>0.140907904646561</v>
      </c>
      <c r="E45" s="24">
        <v>23.997900000000001</v>
      </c>
      <c r="F45" s="13">
        <f t="shared" si="6"/>
        <v>1.2773000000000001</v>
      </c>
      <c r="G45" s="24">
        <v>0.10290000000000001</v>
      </c>
      <c r="H45" s="21"/>
      <c r="I45" s="23"/>
      <c r="J45" s="23">
        <v>0.31519999999999998</v>
      </c>
      <c r="K45" s="13">
        <v>0.39400000000000002</v>
      </c>
      <c r="L45" s="18">
        <v>1.19</v>
      </c>
      <c r="M45" s="13">
        <f t="shared" si="7"/>
        <v>1.3403</v>
      </c>
      <c r="N45" s="24">
        <v>7.1800000000000003E-2</v>
      </c>
      <c r="P45" s="25">
        <v>9.0999999999999998E-2</v>
      </c>
      <c r="Q45" s="25">
        <v>0.154</v>
      </c>
      <c r="R45" s="17">
        <v>6.0958432773644697E-2</v>
      </c>
      <c r="S45" s="29">
        <v>0.14838170000000001</v>
      </c>
      <c r="T45" s="213">
        <f t="shared" si="8"/>
        <v>1.3999999999999999E-2</v>
      </c>
      <c r="U45" s="29">
        <v>0.12559999999999999</v>
      </c>
      <c r="V45" s="15"/>
      <c r="W45" s="17"/>
      <c r="X45" s="17">
        <v>6.1899999999999997E-2</v>
      </c>
      <c r="Y45" s="17">
        <v>0.48399999999999999</v>
      </c>
      <c r="Z45" s="17">
        <v>0.89075630252100846</v>
      </c>
      <c r="AA45" s="213">
        <f t="shared" si="9"/>
        <v>1.2E-2</v>
      </c>
      <c r="AB45" s="17">
        <v>5.5500000000000001E-2</v>
      </c>
      <c r="AE45" s="48">
        <v>1988</v>
      </c>
      <c r="AF45" s="47">
        <v>145125851.27116314</v>
      </c>
      <c r="AG45" s="47">
        <v>143167336.80695167</v>
      </c>
      <c r="AH45" s="43">
        <f t="shared" si="10"/>
        <v>0.79427506860641262</v>
      </c>
      <c r="AI45" s="43">
        <f t="shared" si="11"/>
        <v>0.65936270635227545</v>
      </c>
      <c r="AJ45" s="49">
        <v>5984.5700000000006</v>
      </c>
      <c r="AK45" s="50">
        <v>1675</v>
      </c>
      <c r="AL45" s="40">
        <v>3000.82485</v>
      </c>
      <c r="AM45" s="40">
        <v>1031.6646075239685</v>
      </c>
      <c r="AZ45" s="1">
        <v>2011</v>
      </c>
      <c r="BA45" s="14">
        <v>1.2773000000000001</v>
      </c>
      <c r="BB45" s="212">
        <v>42.635399999999997</v>
      </c>
      <c r="BC45" s="212">
        <v>1.3403</v>
      </c>
      <c r="BD45" s="212">
        <v>73.896799999999999</v>
      </c>
      <c r="BF45" s="1">
        <v>2011</v>
      </c>
      <c r="BG45" s="14">
        <v>1.3999999999999999E-2</v>
      </c>
      <c r="BH45" s="212">
        <v>0.23199999999999998</v>
      </c>
      <c r="BI45" s="212">
        <v>1.2E-2</v>
      </c>
      <c r="BJ45" s="212">
        <v>0.18600000000000003</v>
      </c>
    </row>
    <row r="46" spans="1:62" x14ac:dyDescent="0.2">
      <c r="A46" s="8">
        <v>2012</v>
      </c>
      <c r="B46" s="24">
        <v>0.51300000000000001</v>
      </c>
      <c r="C46" s="102">
        <v>1.105</v>
      </c>
      <c r="D46" s="24">
        <v>0.11429315744641901</v>
      </c>
      <c r="E46" s="24">
        <v>28.91431</v>
      </c>
      <c r="F46" s="13">
        <f t="shared" si="6"/>
        <v>1.5321</v>
      </c>
      <c r="G46" s="24">
        <v>8.7499999999999994E-2</v>
      </c>
      <c r="H46" s="21"/>
      <c r="I46" s="23"/>
      <c r="J46" s="23">
        <v>0.23830000000000001</v>
      </c>
      <c r="K46" s="13">
        <v>0.223</v>
      </c>
      <c r="L46" s="18">
        <v>1.73</v>
      </c>
      <c r="M46" s="13">
        <f t="shared" si="7"/>
        <v>1.2503</v>
      </c>
      <c r="N46" s="24">
        <v>6.8000000000000005E-2</v>
      </c>
      <c r="P46" s="25">
        <v>9.1999999999999998E-2</v>
      </c>
      <c r="Q46" s="25">
        <v>0.16500000000000001</v>
      </c>
      <c r="R46" s="17">
        <v>6.3018164887343506E-2</v>
      </c>
      <c r="S46" s="29">
        <v>0.1407967</v>
      </c>
      <c r="T46" s="213">
        <f t="shared" si="8"/>
        <v>1.3999999999999999E-2</v>
      </c>
      <c r="U46" s="29">
        <v>0.1275</v>
      </c>
      <c r="V46" s="15"/>
      <c r="W46" s="17"/>
      <c r="X46" s="17">
        <v>2.3099999999999999E-2</v>
      </c>
      <c r="Y46" s="17">
        <v>0.44900000000000001</v>
      </c>
      <c r="Z46" s="17">
        <v>0.97976878612716767</v>
      </c>
      <c r="AA46" s="213">
        <f t="shared" si="9"/>
        <v>1.3999999999999999E-2</v>
      </c>
      <c r="AB46" s="17">
        <v>6.7900000000000002E-2</v>
      </c>
      <c r="AE46" s="48">
        <v>1989</v>
      </c>
      <c r="AF46" s="47">
        <v>135444530.96200728</v>
      </c>
      <c r="AG46" s="47">
        <v>155110810.48794597</v>
      </c>
      <c r="AH46" s="43">
        <f t="shared" si="10"/>
        <v>0.74128911685900423</v>
      </c>
      <c r="AI46" s="43">
        <f t="shared" si="11"/>
        <v>0.71436883627817072</v>
      </c>
      <c r="AJ46" s="49">
        <v>4097.8200000000006</v>
      </c>
      <c r="AK46" s="50">
        <v>2296</v>
      </c>
      <c r="AL46" s="40">
        <v>2244.3301499999998</v>
      </c>
      <c r="AM46" s="40">
        <v>1545.6239824337313</v>
      </c>
      <c r="AZ46" s="1">
        <v>2012</v>
      </c>
      <c r="BA46" s="14">
        <v>1.5321</v>
      </c>
      <c r="BB46" s="212">
        <v>51.524900000000002</v>
      </c>
      <c r="BC46" s="212">
        <v>1.2503</v>
      </c>
      <c r="BD46" s="212">
        <v>68.597999999999999</v>
      </c>
      <c r="BF46" s="1">
        <v>2012</v>
      </c>
      <c r="BG46" s="14">
        <v>1.3999999999999999E-2</v>
      </c>
      <c r="BH46" s="212">
        <v>0.13300000000000001</v>
      </c>
      <c r="BI46" s="212">
        <v>1.3999999999999999E-2</v>
      </c>
      <c r="BJ46" s="212">
        <v>0.27600000000000002</v>
      </c>
    </row>
    <row r="47" spans="1:62" x14ac:dyDescent="0.2">
      <c r="A47" s="8">
        <v>2013</v>
      </c>
      <c r="B47" s="24">
        <v>0.54300000000000004</v>
      </c>
      <c r="C47" s="102">
        <v>0.77700000000000002</v>
      </c>
      <c r="D47" s="24">
        <v>8.3946030604303307E-2</v>
      </c>
      <c r="E47" s="24">
        <v>28.422059999999998</v>
      </c>
      <c r="F47" s="13">
        <f t="shared" si="6"/>
        <v>1.1571</v>
      </c>
      <c r="G47" s="24">
        <v>3.27E-2</v>
      </c>
      <c r="H47" s="21"/>
      <c r="I47" s="23"/>
      <c r="J47" s="23">
        <v>0.1227</v>
      </c>
      <c r="K47" s="13"/>
      <c r="L47" s="24"/>
      <c r="M47" s="13">
        <f t="shared" si="7"/>
        <v>1.3365</v>
      </c>
      <c r="N47" s="24">
        <v>5.6399999999999999E-2</v>
      </c>
      <c r="P47" s="25">
        <v>9.2999999999999999E-2</v>
      </c>
      <c r="Q47" s="25">
        <v>0.14799999999999999</v>
      </c>
      <c r="R47" s="17">
        <v>7.3343069361204299E-2</v>
      </c>
      <c r="S47" s="29">
        <v>0.18341009999999999</v>
      </c>
      <c r="T47" s="213">
        <f t="shared" si="8"/>
        <v>1.6E-2</v>
      </c>
      <c r="U47" s="29">
        <v>0.37330000000000002</v>
      </c>
      <c r="V47" s="15"/>
      <c r="W47" s="17"/>
      <c r="X47" s="17">
        <v>2.5999999999999999E-2</v>
      </c>
      <c r="Y47" s="17"/>
      <c r="Z47" s="17"/>
      <c r="AA47" s="213">
        <f t="shared" si="9"/>
        <v>1.4999999999999999E-2</v>
      </c>
      <c r="AB47" s="17">
        <v>8.5000000000000006E-2</v>
      </c>
      <c r="AE47" s="48">
        <v>1990</v>
      </c>
      <c r="AF47" s="47">
        <v>113727294.48465601</v>
      </c>
      <c r="AG47" s="47">
        <v>186351114.64037049</v>
      </c>
      <c r="AH47" s="43">
        <f t="shared" si="10"/>
        <v>0.62243048938566869</v>
      </c>
      <c r="AI47" s="43">
        <f t="shared" si="11"/>
        <v>0.85824726520352224</v>
      </c>
      <c r="AJ47" s="49">
        <v>3851.7599999999998</v>
      </c>
      <c r="AK47" s="50">
        <v>2056</v>
      </c>
      <c r="AL47" s="40">
        <v>2348.0425999999998</v>
      </c>
      <c r="AM47" s="40">
        <v>1255.1049744928152</v>
      </c>
      <c r="AZ47" s="1">
        <v>2013</v>
      </c>
      <c r="BA47" s="14">
        <v>1.1571</v>
      </c>
      <c r="BB47" s="212">
        <v>38.824300000000001</v>
      </c>
      <c r="BC47" s="212">
        <v>1.3365</v>
      </c>
      <c r="BD47" s="212">
        <v>78.4499</v>
      </c>
      <c r="BF47" s="1">
        <v>2013</v>
      </c>
      <c r="BG47" s="14">
        <v>1.6E-2</v>
      </c>
      <c r="BH47" s="212">
        <v>0.41499999999999998</v>
      </c>
      <c r="BI47" s="212">
        <v>1.4999999999999999E-2</v>
      </c>
      <c r="BJ47" s="212">
        <v>0.22500000000000001</v>
      </c>
    </row>
    <row r="48" spans="1:62" x14ac:dyDescent="0.2">
      <c r="A48" s="8">
        <v>2014</v>
      </c>
      <c r="B48" s="24">
        <v>0.48899999999999999</v>
      </c>
      <c r="C48" s="102">
        <v>0.81100000000000005</v>
      </c>
      <c r="D48" s="24">
        <v>0.16697634213065499</v>
      </c>
      <c r="E48" s="24">
        <v>28.18065</v>
      </c>
      <c r="F48" s="13">
        <f t="shared" si="6"/>
        <v>1.0958000000000001</v>
      </c>
      <c r="G48" s="24">
        <v>9.2499999999999999E-2</v>
      </c>
      <c r="H48" s="21"/>
      <c r="I48" s="23"/>
      <c r="J48" s="23">
        <v>0.27400000000000002</v>
      </c>
      <c r="K48" s="13"/>
      <c r="L48" s="24"/>
      <c r="M48" s="13">
        <f t="shared" si="7"/>
        <v>1.3179000000000001</v>
      </c>
      <c r="N48" s="24">
        <v>7.9500000000000001E-2</v>
      </c>
      <c r="P48" s="25">
        <v>9.5000000000000001E-2</v>
      </c>
      <c r="Q48" s="25">
        <v>0.16200000000000001</v>
      </c>
      <c r="R48" s="17">
        <v>6.3297433692217506E-2</v>
      </c>
      <c r="S48" s="29">
        <v>0.1848928</v>
      </c>
      <c r="T48" s="213">
        <f t="shared" si="8"/>
        <v>1.4999999999999999E-2</v>
      </c>
      <c r="U48" s="29">
        <v>0.1996</v>
      </c>
      <c r="V48" s="15"/>
      <c r="W48" s="17"/>
      <c r="X48" s="17">
        <v>4.87E-2</v>
      </c>
      <c r="Y48" s="17"/>
      <c r="Z48" s="17"/>
      <c r="AA48" s="213">
        <f t="shared" si="9"/>
        <v>1.4999999999999999E-2</v>
      </c>
      <c r="AB48" s="17">
        <v>7.5700000000000003E-2</v>
      </c>
      <c r="AE48" s="48">
        <v>1991</v>
      </c>
      <c r="AF48" s="47">
        <v>119919237.82396246</v>
      </c>
      <c r="AG48" s="47">
        <v>181322008.29905364</v>
      </c>
      <c r="AH48" s="43">
        <f t="shared" si="10"/>
        <v>0.65631905009044167</v>
      </c>
      <c r="AI48" s="43">
        <f t="shared" si="11"/>
        <v>0.83508552145875026</v>
      </c>
      <c r="AJ48" s="49">
        <v>4113.53</v>
      </c>
      <c r="AK48" s="50">
        <v>2197</v>
      </c>
      <c r="AL48" s="40">
        <v>2292.4764999999998</v>
      </c>
      <c r="AM48" s="40">
        <v>1061.6829802680268</v>
      </c>
      <c r="AZ48" s="1">
        <v>2014</v>
      </c>
      <c r="BA48" s="14">
        <v>1.0958000000000001</v>
      </c>
      <c r="BB48" s="212">
        <v>37.382599999999996</v>
      </c>
      <c r="BC48" s="212">
        <v>1.3179000000000001</v>
      </c>
      <c r="BD48" s="212">
        <v>75.008200000000002</v>
      </c>
      <c r="BF48" s="1">
        <v>2014</v>
      </c>
      <c r="BG48" s="14">
        <v>1.4999999999999999E-2</v>
      </c>
      <c r="BH48" s="212">
        <v>0.622</v>
      </c>
      <c r="BI48" s="212">
        <v>1.4999999999999999E-2</v>
      </c>
      <c r="BJ48" s="212">
        <v>0.24600000000000002</v>
      </c>
    </row>
    <row r="49" spans="1:62" x14ac:dyDescent="0.2">
      <c r="A49" s="8">
        <v>2015</v>
      </c>
      <c r="B49" s="24">
        <v>0.48399999999999999</v>
      </c>
      <c r="C49" s="102">
        <v>0.63</v>
      </c>
      <c r="D49" s="24">
        <v>9.1461791719080199E-2</v>
      </c>
      <c r="E49" s="24">
        <v>10.675319999999999</v>
      </c>
      <c r="F49" s="13">
        <f t="shared" si="6"/>
        <v>1.2506999999999999</v>
      </c>
      <c r="G49" s="24">
        <v>2.7900000000000001E-2</v>
      </c>
      <c r="H49" s="21"/>
      <c r="I49" s="23"/>
      <c r="J49" s="23"/>
      <c r="K49" s="13"/>
      <c r="L49" s="24"/>
      <c r="M49" s="13">
        <f t="shared" si="7"/>
        <v>1.1879</v>
      </c>
      <c r="N49" s="24">
        <v>3.8100000000000002E-2</v>
      </c>
      <c r="P49" s="25">
        <v>9.9000000000000005E-2</v>
      </c>
      <c r="Q49" s="25">
        <v>0.17599999999999999</v>
      </c>
      <c r="R49" s="17">
        <v>6.7198751547785499E-2</v>
      </c>
      <c r="S49" s="29">
        <v>0.17783589999999999</v>
      </c>
      <c r="T49" s="213">
        <f t="shared" si="8"/>
        <v>1.3999999999999999E-2</v>
      </c>
      <c r="U49" s="29">
        <v>0.26800000000000002</v>
      </c>
      <c r="V49" s="15"/>
      <c r="W49" s="17"/>
      <c r="X49" s="17"/>
      <c r="Y49" s="17"/>
      <c r="Z49" s="17"/>
      <c r="AA49" s="213">
        <f t="shared" si="9"/>
        <v>1.6E-2</v>
      </c>
      <c r="AB49" s="17">
        <v>0.1263</v>
      </c>
      <c r="AE49" s="48">
        <v>1992</v>
      </c>
      <c r="AF49" s="47">
        <v>129343864.63096404</v>
      </c>
      <c r="AG49" s="47">
        <v>183979262.19875371</v>
      </c>
      <c r="AH49" s="43">
        <f t="shared" si="10"/>
        <v>0.70790011602840552</v>
      </c>
      <c r="AI49" s="43">
        <f t="shared" si="11"/>
        <v>0.8473236070573803</v>
      </c>
      <c r="AJ49" s="49">
        <v>3871.41</v>
      </c>
      <c r="AK49" s="50">
        <v>1928</v>
      </c>
      <c r="AL49" s="40">
        <v>3145.9164500000002</v>
      </c>
      <c r="AM49" s="40">
        <v>1182.9735232616479</v>
      </c>
      <c r="AZ49" s="1">
        <v>2015</v>
      </c>
      <c r="BA49" s="14">
        <v>1.2506999999999999</v>
      </c>
      <c r="BB49" s="212">
        <v>42.78</v>
      </c>
      <c r="BC49" s="212">
        <v>1.1879</v>
      </c>
      <c r="BD49" s="212">
        <v>65.486000000000004</v>
      </c>
      <c r="BF49" s="1">
        <v>2015</v>
      </c>
      <c r="BG49" s="14">
        <v>1.3999999999999999E-2</v>
      </c>
      <c r="BH49" s="212">
        <v>0.254</v>
      </c>
      <c r="BI49" s="212">
        <v>1.6E-2</v>
      </c>
      <c r="BJ49" s="212">
        <v>0.4</v>
      </c>
    </row>
    <row r="50" spans="1:62" x14ac:dyDescent="0.2">
      <c r="A50" s="8"/>
      <c r="B50" s="24"/>
      <c r="C50" s="24"/>
      <c r="D50" s="24"/>
      <c r="E50" s="24"/>
      <c r="F50" s="28"/>
      <c r="G50" s="20"/>
      <c r="H50" s="21"/>
      <c r="I50" s="23"/>
      <c r="J50" s="23"/>
      <c r="K50" s="13"/>
      <c r="L50" s="24"/>
      <c r="M50" s="13"/>
      <c r="N50" s="20"/>
      <c r="P50" s="25"/>
      <c r="Q50" s="25"/>
      <c r="R50" s="17"/>
      <c r="S50" s="29"/>
      <c r="T50" s="29"/>
      <c r="U50" s="26"/>
      <c r="V50" s="15"/>
      <c r="W50" s="17"/>
      <c r="X50" s="17"/>
      <c r="Y50" s="17"/>
      <c r="Z50" s="17"/>
      <c r="AA50" s="17"/>
      <c r="AB50" s="15"/>
      <c r="AE50" s="48">
        <v>1993</v>
      </c>
      <c r="AF50" s="47">
        <v>131953931.45590004</v>
      </c>
      <c r="AG50" s="47">
        <v>193787911.03036532</v>
      </c>
      <c r="AH50" s="43">
        <f t="shared" si="10"/>
        <v>0.72218503486460806</v>
      </c>
      <c r="AI50" s="43">
        <f t="shared" si="11"/>
        <v>0.89249771857969851</v>
      </c>
      <c r="AJ50" s="49">
        <v>5363.5000000000018</v>
      </c>
      <c r="AK50" s="50">
        <v>2290</v>
      </c>
      <c r="AL50" s="40">
        <v>4185.1739500000022</v>
      </c>
      <c r="AM50" s="40">
        <v>1742.9682822252576</v>
      </c>
    </row>
    <row r="51" spans="1:62" x14ac:dyDescent="0.2">
      <c r="B51" s="31">
        <f>AVERAGE(B20:B49)</f>
        <v>0.70210000000000006</v>
      </c>
      <c r="C51" s="31">
        <f>AVERAGE(C26:C49)</f>
        <v>0.80929166666666674</v>
      </c>
      <c r="D51" s="31">
        <f>AVERAGE(D28:D49)</f>
        <v>0.12694312459413909</v>
      </c>
      <c r="E51" s="31">
        <f>AVERAGE(E33:E49)</f>
        <v>30.900588823529407</v>
      </c>
      <c r="F51" s="30">
        <f>AVERAGE(F24:F49)</f>
        <v>1.1816346153846153</v>
      </c>
      <c r="G51" s="31">
        <f>AVERAGE(G41:G49)</f>
        <v>7.1333333333333332E-2</v>
      </c>
      <c r="H51" s="30"/>
      <c r="I51" s="30">
        <f>AVERAGE(I16:I44)</f>
        <v>43.071937783419564</v>
      </c>
      <c r="J51" s="31">
        <f>AVERAGE(J28:J48)</f>
        <v>0.11836666666666666</v>
      </c>
      <c r="K51" s="31">
        <f>AVERAGE(K12:K46)</f>
        <v>0.11445714285714284</v>
      </c>
      <c r="L51" s="30">
        <f>AVERAGE(L35:L46)</f>
        <v>1.3566666666666665</v>
      </c>
      <c r="M51" s="30">
        <f>AVERAGE(M24:M49)</f>
        <v>1.0058807692307694</v>
      </c>
      <c r="N51" s="31">
        <f>AVERAGE(N41:N49)</f>
        <v>6.0988888888888898E-2</v>
      </c>
      <c r="S51" s="32"/>
      <c r="Z51" s="14"/>
      <c r="AE51" s="48">
        <v>1994</v>
      </c>
      <c r="AF51" s="47">
        <v>164694658.08726084</v>
      </c>
      <c r="AG51" s="47">
        <v>217129867.10907811</v>
      </c>
      <c r="AH51" s="43">
        <f t="shared" si="10"/>
        <v>0.9013753215266177</v>
      </c>
      <c r="AI51" s="43">
        <f t="shared" si="11"/>
        <v>1</v>
      </c>
      <c r="AJ51" s="49">
        <v>4447.9799999999996</v>
      </c>
      <c r="AK51" s="50">
        <v>2111</v>
      </c>
      <c r="AL51" s="40">
        <v>3730.62185</v>
      </c>
      <c r="AM51" s="40">
        <v>2182.418663872767</v>
      </c>
    </row>
    <row r="52" spans="1:62" x14ac:dyDescent="0.2">
      <c r="B52" s="6" t="str">
        <f t="shared" ref="B52:G52" si="12">B2</f>
        <v>N</v>
      </c>
      <c r="C52" s="6" t="str">
        <f t="shared" si="12"/>
        <v>N</v>
      </c>
      <c r="D52" s="6" t="str">
        <f t="shared" si="12"/>
        <v>N</v>
      </c>
      <c r="E52" s="6" t="str">
        <f t="shared" si="12"/>
        <v>N</v>
      </c>
      <c r="F52" s="6" t="str">
        <f t="shared" si="12"/>
        <v>N</v>
      </c>
      <c r="G52" s="6" t="str">
        <f t="shared" si="12"/>
        <v>N</v>
      </c>
      <c r="H52" s="6"/>
      <c r="I52" s="6" t="str">
        <f t="shared" ref="I52:N52" si="13">I2</f>
        <v>S</v>
      </c>
      <c r="J52" s="6" t="str">
        <f t="shared" si="13"/>
        <v>S</v>
      </c>
      <c r="K52" s="6" t="str">
        <f t="shared" si="13"/>
        <v>S</v>
      </c>
      <c r="L52" s="6" t="str">
        <f t="shared" si="13"/>
        <v>S</v>
      </c>
      <c r="M52" s="6" t="str">
        <f t="shared" si="13"/>
        <v>S</v>
      </c>
      <c r="N52" s="6" t="str">
        <f t="shared" si="13"/>
        <v>S</v>
      </c>
      <c r="AE52" s="48">
        <v>1995</v>
      </c>
      <c r="AF52" s="47">
        <v>182714851.57628357</v>
      </c>
      <c r="AG52" s="47">
        <v>212118221.03102511</v>
      </c>
      <c r="AH52" s="43">
        <f t="shared" si="10"/>
        <v>1</v>
      </c>
      <c r="AI52" s="43">
        <f t="shared" si="11"/>
        <v>0.97691867017292777</v>
      </c>
      <c r="AJ52" s="49">
        <v>5839.780999999999</v>
      </c>
      <c r="AK52" s="50">
        <v>2700</v>
      </c>
      <c r="AL52" s="40">
        <v>5376.7534999999989</v>
      </c>
      <c r="AM52" s="40">
        <v>3099.9820953719609</v>
      </c>
    </row>
    <row r="53" spans="1:62" x14ac:dyDescent="0.2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AE53" s="48">
        <v>1996</v>
      </c>
      <c r="AF53" s="47">
        <v>165572029.88436893</v>
      </c>
      <c r="AG53" s="47">
        <v>209882899.58824003</v>
      </c>
      <c r="AH53" s="43">
        <f t="shared" si="10"/>
        <v>0.90617718513835477</v>
      </c>
      <c r="AI53" s="43">
        <f t="shared" si="11"/>
        <v>0.96662381082194704</v>
      </c>
      <c r="AJ53" s="49">
        <v>4029.8139999999999</v>
      </c>
      <c r="AK53" s="50">
        <v>2375</v>
      </c>
      <c r="AL53" s="40">
        <v>5398.0226500000008</v>
      </c>
      <c r="AM53" s="40">
        <v>2426.8092215450511</v>
      </c>
    </row>
    <row r="54" spans="1:62" x14ac:dyDescent="0.2">
      <c r="C54" s="42" t="s">
        <v>121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AE54" s="48">
        <v>1997</v>
      </c>
      <c r="AF54" s="47">
        <v>134604683.97745717</v>
      </c>
      <c r="AG54" s="47">
        <v>194138675.87846667</v>
      </c>
      <c r="AH54" s="43">
        <f t="shared" si="10"/>
        <v>0.73669262687855241</v>
      </c>
      <c r="AI54" s="43">
        <f t="shared" si="11"/>
        <v>0.89411317965270287</v>
      </c>
      <c r="AJ54" s="49">
        <v>3531.558</v>
      </c>
      <c r="AK54" s="50">
        <v>2253</v>
      </c>
      <c r="AL54" s="40">
        <v>3754.4877500000002</v>
      </c>
      <c r="AM54" s="40">
        <v>2247.375188337583</v>
      </c>
    </row>
    <row r="55" spans="1:62" x14ac:dyDescent="0.2">
      <c r="A55" s="33"/>
      <c r="B55" s="34" t="str">
        <f t="shared" ref="B55:G55" si="14">B4</f>
        <v>US-Log</v>
      </c>
      <c r="C55" s="34" t="str">
        <f t="shared" si="14"/>
        <v>US-Obs</v>
      </c>
      <c r="D55" s="34" t="str">
        <f t="shared" si="14"/>
        <v>JPLL-N</v>
      </c>
      <c r="E55" s="34" t="str">
        <f t="shared" si="14"/>
        <v>POR-LL-N</v>
      </c>
      <c r="F55" s="34" t="str">
        <f t="shared" si="14"/>
        <v>ESP-LL-N</v>
      </c>
      <c r="G55" s="34" t="str">
        <f t="shared" si="14"/>
        <v>CH-TA-LLN</v>
      </c>
      <c r="H55" s="34"/>
      <c r="I55" s="34" t="str">
        <f t="shared" ref="I55:N55" si="15">I4</f>
        <v>UR-LL-Log</v>
      </c>
      <c r="J55" s="34" t="str">
        <f t="shared" si="15"/>
        <v>JPLL-S</v>
      </c>
      <c r="K55" s="34" t="str">
        <f t="shared" si="15"/>
        <v>BR-LL</v>
      </c>
      <c r="L55" s="34" t="str">
        <f t="shared" si="15"/>
        <v>UR-LL-Obs</v>
      </c>
      <c r="M55" s="34" t="str">
        <f t="shared" si="15"/>
        <v>ESP-LL-S</v>
      </c>
      <c r="N55" s="34" t="str">
        <f t="shared" si="15"/>
        <v>CH-TA-LLS</v>
      </c>
      <c r="AE55" s="48">
        <v>1998</v>
      </c>
      <c r="AF55" s="47">
        <v>136158970.23686004</v>
      </c>
      <c r="AG55" s="47">
        <v>155777840.16215983</v>
      </c>
      <c r="AH55" s="43">
        <f t="shared" si="10"/>
        <v>0.74519924933422055</v>
      </c>
      <c r="AI55" s="43">
        <f t="shared" si="11"/>
        <v>0.71744086723869605</v>
      </c>
      <c r="AJ55" s="49">
        <v>3238.297</v>
      </c>
      <c r="AK55" s="50">
        <v>1962</v>
      </c>
      <c r="AL55" s="40">
        <v>3895.3707999999997</v>
      </c>
      <c r="AM55" s="40">
        <v>2009.3971921877248</v>
      </c>
    </row>
    <row r="56" spans="1:62" x14ac:dyDescent="0.2">
      <c r="A56" s="1">
        <f t="shared" ref="A56:A100" si="16">A5</f>
        <v>1971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AE56" s="48">
        <v>1999</v>
      </c>
      <c r="AF56" s="47">
        <v>134190773.77223103</v>
      </c>
      <c r="AG56" s="47">
        <v>184978936.8948378</v>
      </c>
      <c r="AH56" s="43">
        <f t="shared" si="10"/>
        <v>0.73442729266157269</v>
      </c>
      <c r="AI56" s="43">
        <f t="shared" si="11"/>
        <v>0.85192764753045758</v>
      </c>
      <c r="AJ56" s="49">
        <v>2837.5459999999998</v>
      </c>
      <c r="AK56" s="50">
        <v>1609</v>
      </c>
      <c r="AL56" s="40">
        <v>2841.5144500000001</v>
      </c>
      <c r="AM56" s="40">
        <v>1606.5919999999999</v>
      </c>
    </row>
    <row r="57" spans="1:62" x14ac:dyDescent="0.2">
      <c r="A57" s="1">
        <f t="shared" si="16"/>
        <v>1972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AE57" s="48">
        <v>2000</v>
      </c>
      <c r="AF57" s="47">
        <v>132864474.38974179</v>
      </c>
      <c r="AG57" s="47">
        <v>205613153.01297897</v>
      </c>
      <c r="AH57" s="43">
        <f t="shared" si="10"/>
        <v>0.72716844440130679</v>
      </c>
      <c r="AI57" s="43">
        <f t="shared" si="11"/>
        <v>0.94695932784634573</v>
      </c>
      <c r="AJ57" s="49">
        <v>2665.8175000000001</v>
      </c>
      <c r="AK57" s="50">
        <v>2632</v>
      </c>
      <c r="AL57" s="40">
        <v>2652.8738000000003</v>
      </c>
      <c r="AM57" s="40">
        <v>2589.703</v>
      </c>
    </row>
    <row r="58" spans="1:62" x14ac:dyDescent="0.2">
      <c r="A58" s="1">
        <f t="shared" si="16"/>
        <v>1973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AE58" s="48">
        <v>2001</v>
      </c>
      <c r="AF58" s="47">
        <v>118481552.80727141</v>
      </c>
      <c r="AG58" s="47">
        <v>207299260.30416644</v>
      </c>
      <c r="AH58" s="43">
        <f t="shared" si="10"/>
        <v>0.64845058726824556</v>
      </c>
      <c r="AI58" s="43">
        <f t="shared" si="11"/>
        <v>0.95472476018247121</v>
      </c>
      <c r="AJ58" s="49">
        <v>2811.9430000000007</v>
      </c>
      <c r="AK58" s="50">
        <v>2282</v>
      </c>
      <c r="AL58" s="40">
        <v>2896.2839000000004</v>
      </c>
      <c r="AM58" s="40">
        <v>2107.5572999999999</v>
      </c>
    </row>
    <row r="59" spans="1:62" x14ac:dyDescent="0.2">
      <c r="A59" s="1">
        <f t="shared" si="16"/>
        <v>1974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AE59" s="48">
        <v>2002</v>
      </c>
      <c r="AF59" s="47">
        <v>140438579.88018641</v>
      </c>
      <c r="AG59" s="47">
        <v>184029714.95854491</v>
      </c>
      <c r="AH59" s="43">
        <f t="shared" si="10"/>
        <v>0.76862159079363734</v>
      </c>
      <c r="AI59" s="43">
        <f t="shared" si="11"/>
        <v>0.84755596919375031</v>
      </c>
      <c r="AJ59" s="49">
        <v>3249.8589999999995</v>
      </c>
      <c r="AK59" s="50">
        <v>2168</v>
      </c>
      <c r="AL59" s="40">
        <v>3570.3321999999998</v>
      </c>
      <c r="AM59" s="40">
        <v>2103.3270000000002</v>
      </c>
    </row>
    <row r="60" spans="1:62" x14ac:dyDescent="0.2">
      <c r="A60" s="1">
        <f t="shared" si="16"/>
        <v>1975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AE60" s="48">
        <v>2003</v>
      </c>
      <c r="AF60" s="47">
        <v>148799562.77580205</v>
      </c>
      <c r="AG60" s="47">
        <v>205511782.09137523</v>
      </c>
      <c r="AH60" s="43">
        <f t="shared" si="10"/>
        <v>0.81438132418961096</v>
      </c>
      <c r="AI60" s="43">
        <f t="shared" si="11"/>
        <v>0.94649246014659805</v>
      </c>
      <c r="AJ60" s="49">
        <v>3738.4409999999998</v>
      </c>
      <c r="AK60" s="50">
        <v>3382</v>
      </c>
      <c r="AL60" s="40">
        <v>4023.5266499999989</v>
      </c>
      <c r="AM60" s="40">
        <v>3235.6591000000008</v>
      </c>
    </row>
    <row r="61" spans="1:62" x14ac:dyDescent="0.2">
      <c r="A61" s="1">
        <f t="shared" si="16"/>
        <v>1976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AE61" s="48">
        <v>2004</v>
      </c>
      <c r="AF61" s="47">
        <v>178918649.93491891</v>
      </c>
      <c r="AG61" s="47">
        <v>194557030.46333191</v>
      </c>
      <c r="AH61" s="43">
        <f t="shared" si="10"/>
        <v>0.97922335481426503</v>
      </c>
      <c r="AI61" s="43">
        <f t="shared" si="11"/>
        <v>0.89603992787226072</v>
      </c>
      <c r="AJ61" s="49">
        <v>4648.0193199999985</v>
      </c>
      <c r="AK61" s="50">
        <v>2094</v>
      </c>
      <c r="AL61" s="40">
        <v>4044.7069700000006</v>
      </c>
      <c r="AM61" s="40">
        <v>2525.7092715773947</v>
      </c>
    </row>
    <row r="62" spans="1:62" x14ac:dyDescent="0.2">
      <c r="A62" s="1">
        <f t="shared" si="16"/>
        <v>1977</v>
      </c>
      <c r="B62" s="35"/>
      <c r="C62" s="35"/>
      <c r="D62" s="35"/>
      <c r="E62" s="35"/>
      <c r="F62" s="35"/>
      <c r="G62" s="35"/>
      <c r="H62" s="35"/>
      <c r="I62" s="35"/>
      <c r="J62" s="35"/>
      <c r="K62" s="41"/>
      <c r="L62" s="35"/>
      <c r="M62" s="35"/>
      <c r="N62" s="35"/>
      <c r="AE62" s="48">
        <v>2005</v>
      </c>
      <c r="AF62" s="47">
        <v>128068414.90917777</v>
      </c>
      <c r="AG62" s="47">
        <v>159424421.21408391</v>
      </c>
      <c r="AH62" s="43">
        <f t="shared" si="10"/>
        <v>0.70091956841126901</v>
      </c>
      <c r="AI62" s="43">
        <f t="shared" si="11"/>
        <v>0.73423533729698687</v>
      </c>
      <c r="AJ62" s="49">
        <v>3344.5590000000002</v>
      </c>
      <c r="AK62" s="50">
        <v>3162</v>
      </c>
      <c r="AL62" s="40">
        <v>3742.5451500000008</v>
      </c>
      <c r="AM62" s="40">
        <v>3258.9092351919967</v>
      </c>
    </row>
    <row r="63" spans="1:62" x14ac:dyDescent="0.2">
      <c r="A63" s="1">
        <f t="shared" si="16"/>
        <v>1978</v>
      </c>
      <c r="B63" s="35"/>
      <c r="C63" s="35"/>
      <c r="D63" s="35"/>
      <c r="E63" s="35"/>
      <c r="F63" s="35"/>
      <c r="G63" s="44"/>
      <c r="H63" s="35"/>
      <c r="I63" s="44"/>
      <c r="J63" s="35"/>
      <c r="K63" s="41">
        <f t="shared" ref="K63:K97" si="17">K12/K$51</f>
        <v>0.11357963055416875</v>
      </c>
      <c r="L63" s="35"/>
      <c r="M63" s="35"/>
      <c r="N63" s="35"/>
      <c r="AE63" s="48">
        <v>2006</v>
      </c>
      <c r="AF63" s="47">
        <v>130781035.25957029</v>
      </c>
      <c r="AG63" s="47">
        <v>163584184.01192048</v>
      </c>
      <c r="AH63" s="43">
        <f t="shared" si="10"/>
        <v>0.71576576360006028</v>
      </c>
      <c r="AI63" s="43">
        <f t="shared" si="11"/>
        <v>0.75339328573227449</v>
      </c>
      <c r="AJ63" s="49">
        <v>3265.5629999999996</v>
      </c>
      <c r="AK63" s="50">
        <v>3060</v>
      </c>
      <c r="AL63" s="40">
        <v>3607.6985500000001</v>
      </c>
      <c r="AM63" s="40">
        <v>3035.6881596818307</v>
      </c>
    </row>
    <row r="64" spans="1:62" x14ac:dyDescent="0.2">
      <c r="A64" s="1">
        <f t="shared" si="16"/>
        <v>1979</v>
      </c>
      <c r="B64" s="35"/>
      <c r="C64" s="35"/>
      <c r="D64" s="35"/>
      <c r="E64" s="35"/>
      <c r="F64" s="35"/>
      <c r="G64" s="44"/>
      <c r="H64" s="35"/>
      <c r="I64" s="44"/>
      <c r="J64" s="35"/>
      <c r="K64" s="41">
        <f t="shared" si="17"/>
        <v>6.1158262606090877E-2</v>
      </c>
      <c r="L64" s="35"/>
      <c r="M64" s="35"/>
      <c r="N64" s="35"/>
      <c r="AE64" s="48">
        <v>2007</v>
      </c>
      <c r="AF64" s="54">
        <v>148805678.91823921</v>
      </c>
      <c r="AG64" s="54">
        <v>187322008.15222347</v>
      </c>
      <c r="AH64" s="43">
        <f t="shared" si="10"/>
        <v>0.81441479789130733</v>
      </c>
      <c r="AI64" s="43">
        <f t="shared" si="11"/>
        <v>0.86271875281957289</v>
      </c>
      <c r="AJ64" s="49">
        <v>3960.4307100000001</v>
      </c>
      <c r="AK64" s="50">
        <v>2854</v>
      </c>
      <c r="AL64" s="40">
        <v>4215.5480599999992</v>
      </c>
      <c r="AM64" s="40">
        <v>2786.008671000001</v>
      </c>
    </row>
    <row r="65" spans="1:39" x14ac:dyDescent="0.2">
      <c r="A65" s="1">
        <f t="shared" si="16"/>
        <v>1980</v>
      </c>
      <c r="B65" s="35"/>
      <c r="C65" s="35"/>
      <c r="D65" s="35"/>
      <c r="E65" s="35"/>
      <c r="F65" s="35"/>
      <c r="G65" s="44"/>
      <c r="H65" s="35"/>
      <c r="I65" s="44"/>
      <c r="J65" s="35"/>
      <c r="K65" s="41">
        <f t="shared" si="17"/>
        <v>0.28831752371442843</v>
      </c>
      <c r="L65" s="35"/>
      <c r="M65" s="35"/>
      <c r="N65" s="35"/>
      <c r="AE65" s="48">
        <v>2008</v>
      </c>
      <c r="AF65" s="54">
        <v>132983364.67228279</v>
      </c>
      <c r="AG65" s="54">
        <v>168629058.35359606</v>
      </c>
      <c r="AH65" s="43">
        <f t="shared" si="10"/>
        <v>0.72781913197002568</v>
      </c>
      <c r="AI65" s="43">
        <f t="shared" si="11"/>
        <v>0.77662764961249198</v>
      </c>
      <c r="AJ65" s="49">
        <v>3507.4976000000011</v>
      </c>
      <c r="AK65" s="50">
        <v>1887</v>
      </c>
      <c r="AL65" s="40">
        <v>3851.9898000000007</v>
      </c>
      <c r="AM65" s="40">
        <v>1929.07358</v>
      </c>
    </row>
    <row r="66" spans="1:39" x14ac:dyDescent="0.2">
      <c r="A66" s="1">
        <f t="shared" si="16"/>
        <v>1981</v>
      </c>
      <c r="B66" s="41"/>
      <c r="C66" s="41"/>
      <c r="D66" s="41"/>
      <c r="E66" s="45"/>
      <c r="F66" s="45"/>
      <c r="G66" s="41"/>
      <c r="H66" s="45"/>
      <c r="I66" s="41"/>
      <c r="J66" s="45"/>
      <c r="K66" s="41">
        <f t="shared" si="17"/>
        <v>8.7368946580129822E-2</v>
      </c>
      <c r="L66" s="45"/>
      <c r="M66" s="45"/>
      <c r="N66" s="41"/>
      <c r="AE66" s="48">
        <v>2009</v>
      </c>
      <c r="AF66" s="54">
        <v>146417553.49263415</v>
      </c>
      <c r="AG66" s="54">
        <v>175622145.38127533</v>
      </c>
      <c r="AH66" s="43">
        <f t="shared" si="10"/>
        <v>0.80134456629818474</v>
      </c>
      <c r="AI66" s="43">
        <f t="shared" si="11"/>
        <v>0.80883458236102168</v>
      </c>
      <c r="AJ66" s="49">
        <v>4013.267510000001</v>
      </c>
      <c r="AK66" s="50">
        <v>2040</v>
      </c>
      <c r="AL66" s="40">
        <v>4669.2301099999995</v>
      </c>
      <c r="AM66" s="40">
        <v>2086.9070000000002</v>
      </c>
    </row>
    <row r="67" spans="1:39" x14ac:dyDescent="0.2">
      <c r="A67" s="1">
        <f t="shared" si="16"/>
        <v>1982</v>
      </c>
      <c r="B67" s="41"/>
      <c r="C67" s="41"/>
      <c r="D67" s="41"/>
      <c r="E67" s="45"/>
      <c r="F67" s="45"/>
      <c r="G67" s="41"/>
      <c r="H67" s="45"/>
      <c r="I67" s="41">
        <f t="shared" ref="I67:I95" si="18">I16/I$51</f>
        <v>1.7817519344351518</v>
      </c>
      <c r="J67" s="45"/>
      <c r="K67" s="41">
        <f t="shared" si="17"/>
        <v>8.7368946580129822E-2</v>
      </c>
      <c r="L67" s="45"/>
      <c r="M67" s="45"/>
      <c r="N67" s="41"/>
      <c r="AE67" s="48">
        <v>2010</v>
      </c>
      <c r="AF67" s="54">
        <v>136365363.29232967</v>
      </c>
      <c r="AG67" s="54">
        <v>166256161.22840559</v>
      </c>
      <c r="AH67" s="43">
        <f>AF67/$AF$73</f>
        <v>0.74632884035371938</v>
      </c>
      <c r="AI67" s="43">
        <f t="shared" si="11"/>
        <v>0.76569918013575067</v>
      </c>
      <c r="AJ67" s="49">
        <v>4065.6419000000005</v>
      </c>
      <c r="AK67" s="50">
        <v>2496</v>
      </c>
      <c r="AL67" s="40">
        <v>4823.8099499999989</v>
      </c>
      <c r="AM67" s="40">
        <v>2563.0035318314272</v>
      </c>
    </row>
    <row r="68" spans="1:39" x14ac:dyDescent="0.2">
      <c r="A68" s="1">
        <f t="shared" si="16"/>
        <v>1983</v>
      </c>
      <c r="B68" s="41"/>
      <c r="C68" s="41"/>
      <c r="D68" s="41"/>
      <c r="E68" s="45"/>
      <c r="F68" s="45"/>
      <c r="G68" s="41"/>
      <c r="H68" s="45"/>
      <c r="I68" s="41">
        <f t="shared" si="18"/>
        <v>0.68999586757920484</v>
      </c>
      <c r="J68" s="45"/>
      <c r="K68" s="41">
        <f t="shared" si="17"/>
        <v>5.242136794807789E-2</v>
      </c>
      <c r="L68" s="45"/>
      <c r="M68" s="45"/>
      <c r="N68" s="41"/>
      <c r="AE68" s="48">
        <v>2011</v>
      </c>
      <c r="AF68" s="54">
        <v>128991651.04947554</v>
      </c>
      <c r="AG68" s="54">
        <v>174345723.20916906</v>
      </c>
      <c r="AH68" s="43">
        <f t="shared" ref="AH68:AH71" si="19">AF68/$AF$73</f>
        <v>0.70597244797925707</v>
      </c>
      <c r="AI68" s="43">
        <f t="shared" si="11"/>
        <v>0.80295597068451274</v>
      </c>
      <c r="AJ68" s="50"/>
      <c r="AK68" s="50"/>
      <c r="AL68" s="40">
        <v>3812.080195</v>
      </c>
      <c r="AM68" s="40">
        <v>3334.3560731058542</v>
      </c>
    </row>
    <row r="69" spans="1:39" x14ac:dyDescent="0.2">
      <c r="A69" s="1">
        <f t="shared" si="16"/>
        <v>1984</v>
      </c>
      <c r="B69" s="41"/>
      <c r="C69" s="41"/>
      <c r="D69" s="41"/>
      <c r="E69" s="45"/>
      <c r="F69" s="45"/>
      <c r="G69" s="41"/>
      <c r="H69" s="45"/>
      <c r="I69" s="41">
        <f t="shared" si="18"/>
        <v>0.32753163363368976</v>
      </c>
      <c r="J69" s="45"/>
      <c r="K69" s="41">
        <f t="shared" si="17"/>
        <v>0.34947578632051929</v>
      </c>
      <c r="L69" s="45"/>
      <c r="M69" s="45"/>
      <c r="N69" s="41"/>
      <c r="AE69" s="48">
        <v>2012</v>
      </c>
      <c r="AF69" s="54">
        <v>138447367.74477527</v>
      </c>
      <c r="AG69" s="54">
        <v>143640482.66476634</v>
      </c>
      <c r="AH69" s="43">
        <f t="shared" si="19"/>
        <v>0.75772366915107281</v>
      </c>
      <c r="AI69" s="43">
        <f t="shared" si="11"/>
        <v>0.66154179789833623</v>
      </c>
      <c r="AJ69" s="50"/>
      <c r="AK69" s="50"/>
      <c r="AL69" s="40">
        <v>4497.8896580714309</v>
      </c>
      <c r="AM69" s="40">
        <v>2965.4303200000008</v>
      </c>
    </row>
    <row r="70" spans="1:39" x14ac:dyDescent="0.2">
      <c r="A70" s="1">
        <f t="shared" si="16"/>
        <v>1985</v>
      </c>
      <c r="B70" s="41"/>
      <c r="C70" s="41"/>
      <c r="D70" s="41"/>
      <c r="E70" s="45"/>
      <c r="F70" s="45"/>
      <c r="G70" s="41"/>
      <c r="H70" s="45"/>
      <c r="I70" s="41">
        <f t="shared" si="18"/>
        <v>0.25141308466179801</v>
      </c>
      <c r="J70" s="45"/>
      <c r="K70" s="41">
        <f t="shared" si="17"/>
        <v>0.50673989016475296</v>
      </c>
      <c r="L70" s="45"/>
      <c r="M70" s="45"/>
      <c r="N70" s="41"/>
      <c r="AE70" s="48">
        <v>2013</v>
      </c>
      <c r="AF70" s="54">
        <v>121477464.16658768</v>
      </c>
      <c r="AG70" s="54">
        <v>127241850.57795925</v>
      </c>
      <c r="AH70" s="43">
        <f t="shared" si="19"/>
        <v>0.66484723665646173</v>
      </c>
      <c r="AI70" s="43">
        <f t="shared" si="11"/>
        <v>0.58601726364083118</v>
      </c>
      <c r="AJ70" s="50"/>
      <c r="AK70" s="50"/>
      <c r="AL70" s="40">
        <v>3650.8558620000003</v>
      </c>
      <c r="AM70" s="40">
        <v>1972.2062000000005</v>
      </c>
    </row>
    <row r="71" spans="1:39" x14ac:dyDescent="0.2">
      <c r="A71" s="1">
        <f t="shared" si="16"/>
        <v>1986</v>
      </c>
      <c r="B71" s="41">
        <f t="shared" ref="B71:B100" si="20">B20/B$51</f>
        <v>1.6479134026491953</v>
      </c>
      <c r="C71" s="41"/>
      <c r="D71" s="41"/>
      <c r="E71" s="45"/>
      <c r="F71" s="45"/>
      <c r="G71" s="41"/>
      <c r="H71" s="45"/>
      <c r="I71" s="41">
        <f t="shared" si="18"/>
        <v>0.28421997774650515</v>
      </c>
      <c r="J71" s="45"/>
      <c r="K71" s="41">
        <f t="shared" si="17"/>
        <v>0.38442336495257118</v>
      </c>
      <c r="L71" s="45"/>
      <c r="M71" s="45"/>
      <c r="N71" s="41"/>
      <c r="AE71" s="48">
        <v>2014</v>
      </c>
      <c r="AF71" s="54">
        <v>82695450.275195748</v>
      </c>
      <c r="AG71" s="54">
        <v>117743717.47604488</v>
      </c>
      <c r="AH71" s="43">
        <f t="shared" si="19"/>
        <v>0.45259293134510381</v>
      </c>
      <c r="AI71" s="43">
        <f t="shared" si="11"/>
        <v>0.54227324432015955</v>
      </c>
      <c r="AJ71" s="50"/>
      <c r="AK71" s="50"/>
      <c r="AL71" s="40">
        <v>2916.2274894745506</v>
      </c>
      <c r="AM71" s="40">
        <v>3314.0802200000003</v>
      </c>
    </row>
    <row r="72" spans="1:39" x14ac:dyDescent="0.2">
      <c r="A72" s="1">
        <f t="shared" si="16"/>
        <v>1987</v>
      </c>
      <c r="B72" s="41">
        <f t="shared" si="20"/>
        <v>1.6564591938470303</v>
      </c>
      <c r="C72" s="41"/>
      <c r="D72" s="41"/>
      <c r="E72" s="45"/>
      <c r="F72" s="45"/>
      <c r="G72" s="41"/>
      <c r="H72" s="45"/>
      <c r="I72" s="41">
        <f t="shared" si="18"/>
        <v>0.53324162920403684</v>
      </c>
      <c r="J72" s="45"/>
      <c r="K72" s="41">
        <f t="shared" si="17"/>
        <v>0.18347478781827262</v>
      </c>
      <c r="L72" s="45"/>
      <c r="M72" s="45"/>
      <c r="N72" s="41"/>
      <c r="AE72" s="48">
        <v>2015</v>
      </c>
      <c r="AJ72" s="50"/>
      <c r="AK72" s="50"/>
      <c r="AL72" s="40">
        <v>3226.9612710000001</v>
      </c>
      <c r="AM72" s="40">
        <v>2686.16752</v>
      </c>
    </row>
    <row r="73" spans="1:39" x14ac:dyDescent="0.2">
      <c r="A73" s="1">
        <f t="shared" si="16"/>
        <v>1988</v>
      </c>
      <c r="B73" s="41">
        <f t="shared" si="20"/>
        <v>1.3060817547357926</v>
      </c>
      <c r="C73" s="41"/>
      <c r="D73" s="41"/>
      <c r="E73" s="45"/>
      <c r="F73" s="45"/>
      <c r="G73" s="41"/>
      <c r="H73" s="45"/>
      <c r="I73" s="41">
        <f t="shared" si="18"/>
        <v>0.38446275162779853</v>
      </c>
      <c r="J73" s="45"/>
      <c r="K73" s="41">
        <f t="shared" si="17"/>
        <v>0.6552670993509736</v>
      </c>
      <c r="L73" s="45"/>
      <c r="M73" s="45"/>
      <c r="N73" s="41"/>
      <c r="AE73" s="1" t="s">
        <v>21</v>
      </c>
      <c r="AF73" s="55">
        <f>MAX(AF13:AF72)</f>
        <v>182714851.57628357</v>
      </c>
      <c r="AG73" s="55">
        <f>MAX(AG13:AG72)</f>
        <v>217129867.10907811</v>
      </c>
      <c r="AI73" s="1" t="s">
        <v>21</v>
      </c>
      <c r="AJ73" s="55">
        <f>+MAX(AJ28:AJ67)</f>
        <v>6900.23</v>
      </c>
    </row>
    <row r="74" spans="1:39" x14ac:dyDescent="0.2">
      <c r="A74" s="1">
        <f t="shared" si="16"/>
        <v>1989</v>
      </c>
      <c r="B74" s="41">
        <f t="shared" si="20"/>
        <v>1.5140293405497791</v>
      </c>
      <c r="C74" s="41"/>
      <c r="D74" s="41"/>
      <c r="E74" s="45"/>
      <c r="F74" s="45"/>
      <c r="G74" s="41"/>
      <c r="H74" s="45"/>
      <c r="I74" s="41">
        <f t="shared" si="18"/>
        <v>0.58945241691486827</v>
      </c>
      <c r="J74" s="45"/>
      <c r="K74" s="41">
        <f t="shared" si="17"/>
        <v>0.51547678482276593</v>
      </c>
      <c r="L74" s="45"/>
      <c r="M74" s="41"/>
      <c r="N74" s="41"/>
    </row>
    <row r="75" spans="1:39" x14ac:dyDescent="0.2">
      <c r="A75" s="1">
        <f t="shared" si="16"/>
        <v>1990</v>
      </c>
      <c r="B75" s="41">
        <f t="shared" si="20"/>
        <v>1.1864406779661016</v>
      </c>
      <c r="C75" s="41"/>
      <c r="D75" s="41"/>
      <c r="E75" s="45"/>
      <c r="F75" s="41">
        <f>F24/F$51</f>
        <v>0.91288794857189359</v>
      </c>
      <c r="G75" s="41"/>
      <c r="H75" s="45"/>
      <c r="I75" s="41">
        <f t="shared" si="18"/>
        <v>0.7203259584089089</v>
      </c>
      <c r="J75" s="45"/>
      <c r="K75" s="41">
        <f t="shared" si="17"/>
        <v>1.1445332001997006</v>
      </c>
      <c r="L75" s="45"/>
      <c r="M75" s="41">
        <f>M24/M$51</f>
        <v>0.85815339790233569</v>
      </c>
      <c r="N75" s="41"/>
    </row>
    <row r="76" spans="1:39" x14ac:dyDescent="0.2">
      <c r="A76" s="1">
        <f t="shared" si="16"/>
        <v>1991</v>
      </c>
      <c r="B76" s="41">
        <f t="shared" si="20"/>
        <v>1.0539809143996581</v>
      </c>
      <c r="C76" s="41"/>
      <c r="D76" s="41"/>
      <c r="E76" s="45"/>
      <c r="F76" s="41">
        <f t="shared" ref="F76:F100" si="21">F25/F$51</f>
        <v>0.8396842704858003</v>
      </c>
      <c r="G76" s="41"/>
      <c r="H76" s="45"/>
      <c r="I76" s="41">
        <f t="shared" si="18"/>
        <v>0.70115838230002925</v>
      </c>
      <c r="J76" s="45"/>
      <c r="K76" s="41">
        <f t="shared" si="17"/>
        <v>0.37568647029455821</v>
      </c>
      <c r="L76" s="45"/>
      <c r="M76" s="41">
        <f t="shared" ref="M76:M100" si="22">M25/M$51</f>
        <v>0.68010048598816952</v>
      </c>
      <c r="N76" s="41"/>
    </row>
    <row r="77" spans="1:39" x14ac:dyDescent="0.2">
      <c r="A77" s="1">
        <f t="shared" si="16"/>
        <v>1992</v>
      </c>
      <c r="B77" s="41">
        <f t="shared" si="20"/>
        <v>1.2476855148839197</v>
      </c>
      <c r="C77" s="41">
        <f t="shared" ref="C77:C100" si="23">C26/C$51</f>
        <v>1.3851619214333522</v>
      </c>
      <c r="D77" s="41"/>
      <c r="E77" s="45"/>
      <c r="F77" s="41">
        <f t="shared" si="21"/>
        <v>0.96874277809423071</v>
      </c>
      <c r="G77" s="41"/>
      <c r="H77" s="45"/>
      <c r="I77" s="41">
        <f t="shared" si="18"/>
        <v>0.73939894062602074</v>
      </c>
      <c r="J77" s="45"/>
      <c r="K77" s="41">
        <f t="shared" si="17"/>
        <v>0.45431852221667501</v>
      </c>
      <c r="L77" s="45"/>
      <c r="M77" s="41">
        <f t="shared" si="22"/>
        <v>0.89980843424629764</v>
      </c>
      <c r="N77" s="41"/>
    </row>
    <row r="78" spans="1:39" x14ac:dyDescent="0.2">
      <c r="A78" s="1">
        <f t="shared" si="16"/>
        <v>1993</v>
      </c>
      <c r="B78" s="41">
        <f t="shared" si="20"/>
        <v>1.0924369747899159</v>
      </c>
      <c r="C78" s="41">
        <f t="shared" si="23"/>
        <v>1.0589507285177366</v>
      </c>
      <c r="D78" s="41"/>
      <c r="E78" s="45"/>
      <c r="F78" s="41">
        <f t="shared" si="21"/>
        <v>0.92109691594108556</v>
      </c>
      <c r="G78" s="41"/>
      <c r="H78" s="45"/>
      <c r="I78" s="41">
        <f t="shared" si="18"/>
        <v>0.89161152790947984</v>
      </c>
      <c r="J78" s="45"/>
      <c r="K78" s="41">
        <f t="shared" si="17"/>
        <v>0.13105341987019473</v>
      </c>
      <c r="L78" s="45"/>
      <c r="M78" s="41">
        <f t="shared" si="22"/>
        <v>0.94186113203507049</v>
      </c>
      <c r="N78" s="41"/>
    </row>
    <row r="79" spans="1:39" x14ac:dyDescent="0.2">
      <c r="A79" s="1">
        <f t="shared" si="16"/>
        <v>1994</v>
      </c>
      <c r="B79" s="41">
        <f t="shared" si="20"/>
        <v>1.0269192422731803</v>
      </c>
      <c r="C79" s="41">
        <f t="shared" si="23"/>
        <v>0.71173351181588829</v>
      </c>
      <c r="D79" s="41">
        <f t="shared" ref="D79:D100" si="24">D28/D$51</f>
        <v>1.4099662153035792</v>
      </c>
      <c r="E79" s="45"/>
      <c r="F79" s="41">
        <f t="shared" si="21"/>
        <v>0.84408495402392381</v>
      </c>
      <c r="G79" s="41"/>
      <c r="H79" s="45"/>
      <c r="I79" s="41">
        <f t="shared" si="18"/>
        <v>1.8178827135181823</v>
      </c>
      <c r="J79" s="41">
        <f t="shared" ref="J79:J99" si="25">J28/J$51</f>
        <v>0.78062517600675863</v>
      </c>
      <c r="K79" s="41">
        <f t="shared" si="17"/>
        <v>0.67274088866699955</v>
      </c>
      <c r="L79" s="45"/>
      <c r="M79" s="41">
        <f t="shared" si="22"/>
        <v>0.93599562572410688</v>
      </c>
      <c r="N79" s="41"/>
    </row>
    <row r="80" spans="1:39" x14ac:dyDescent="0.2">
      <c r="A80" s="1">
        <f t="shared" si="16"/>
        <v>1995</v>
      </c>
      <c r="B80" s="41">
        <f t="shared" si="20"/>
        <v>0.98846318188292248</v>
      </c>
      <c r="C80" s="41">
        <f t="shared" si="23"/>
        <v>1.0997271276321885</v>
      </c>
      <c r="D80" s="41">
        <f t="shared" si="24"/>
        <v>0.8539497486623937</v>
      </c>
      <c r="E80" s="45"/>
      <c r="F80" s="41">
        <f t="shared" si="21"/>
        <v>0.73356009439336001</v>
      </c>
      <c r="G80" s="41"/>
      <c r="H80" s="45"/>
      <c r="I80" s="41">
        <f t="shared" si="18"/>
        <v>1.587389082829914</v>
      </c>
      <c r="J80" s="41">
        <f t="shared" si="25"/>
        <v>0.49929597296536188</v>
      </c>
      <c r="K80" s="41">
        <f t="shared" si="17"/>
        <v>1.2056914628057915</v>
      </c>
      <c r="L80" s="45"/>
      <c r="M80" s="41">
        <f t="shared" si="22"/>
        <v>1.0846215907222523</v>
      </c>
      <c r="N80" s="41"/>
    </row>
    <row r="81" spans="1:14" x14ac:dyDescent="0.2">
      <c r="A81" s="1">
        <f t="shared" si="16"/>
        <v>1996</v>
      </c>
      <c r="B81" s="41">
        <f t="shared" si="20"/>
        <v>0.88021649337701169</v>
      </c>
      <c r="C81" s="41">
        <f t="shared" si="23"/>
        <v>0.63141636204499818</v>
      </c>
      <c r="D81" s="41">
        <f t="shared" si="24"/>
        <v>0.87936842548504512</v>
      </c>
      <c r="E81" s="45"/>
      <c r="F81" s="41">
        <f t="shared" si="21"/>
        <v>0.92278948653267157</v>
      </c>
      <c r="G81" s="41"/>
      <c r="H81" s="45"/>
      <c r="I81" s="41">
        <f t="shared" si="18"/>
        <v>0.77126963543378735</v>
      </c>
      <c r="J81" s="41">
        <f t="shared" si="25"/>
        <v>0.56688256829062245</v>
      </c>
      <c r="K81" s="41">
        <f t="shared" si="17"/>
        <v>1.2843235147279082</v>
      </c>
      <c r="L81" s="45"/>
      <c r="M81" s="41">
        <f t="shared" si="22"/>
        <v>1.2884230811879369</v>
      </c>
      <c r="N81" s="41"/>
    </row>
    <row r="82" spans="1:14" x14ac:dyDescent="0.2">
      <c r="A82" s="1">
        <f t="shared" si="16"/>
        <v>1997</v>
      </c>
      <c r="B82" s="41">
        <f t="shared" si="20"/>
        <v>0.81042586526135862</v>
      </c>
      <c r="C82" s="41">
        <f t="shared" si="23"/>
        <v>0.82541316995314828</v>
      </c>
      <c r="D82" s="41">
        <f t="shared" si="24"/>
        <v>0.88654785983679008</v>
      </c>
      <c r="E82" s="45"/>
      <c r="F82" s="41">
        <f>F31/F$51</f>
        <v>0.55643258198388801</v>
      </c>
      <c r="G82" s="41"/>
      <c r="H82" s="45"/>
      <c r="I82" s="41">
        <f t="shared" si="18"/>
        <v>1.0914938010756257</v>
      </c>
      <c r="J82" s="41">
        <f t="shared" si="25"/>
        <v>0.68177978034356512</v>
      </c>
      <c r="K82" s="41">
        <f t="shared" si="17"/>
        <v>0.68147778332501263</v>
      </c>
      <c r="L82" s="45"/>
      <c r="M82" s="41">
        <f t="shared" si="22"/>
        <v>0.95080851454332005</v>
      </c>
      <c r="N82" s="41"/>
    </row>
    <row r="83" spans="1:14" x14ac:dyDescent="0.2">
      <c r="A83" s="1">
        <f t="shared" si="16"/>
        <v>1998</v>
      </c>
      <c r="B83" s="41">
        <f t="shared" si="20"/>
        <v>0.76627261073921094</v>
      </c>
      <c r="C83" s="41">
        <f t="shared" si="23"/>
        <v>0.60917468980075162</v>
      </c>
      <c r="D83" s="41">
        <f t="shared" si="24"/>
        <v>0.72452024329046139</v>
      </c>
      <c r="E83" s="45"/>
      <c r="F83" s="41">
        <f t="shared" si="21"/>
        <v>0.63809911302791111</v>
      </c>
      <c r="G83" s="41"/>
      <c r="H83" s="45"/>
      <c r="I83" s="41">
        <f t="shared" si="18"/>
        <v>0.78112901431696347</v>
      </c>
      <c r="J83" s="41">
        <f t="shared" si="25"/>
        <v>0.56772740073218808</v>
      </c>
      <c r="K83" s="41">
        <f t="shared" si="17"/>
        <v>1.3979031452820772</v>
      </c>
      <c r="L83" s="45"/>
      <c r="M83" s="41">
        <f t="shared" si="22"/>
        <v>0.7572468062815213</v>
      </c>
      <c r="N83" s="41"/>
    </row>
    <row r="84" spans="1:14" x14ac:dyDescent="0.2">
      <c r="A84" s="1">
        <f t="shared" si="16"/>
        <v>1999</v>
      </c>
      <c r="B84" s="41">
        <f t="shared" si="20"/>
        <v>0.74918102834354072</v>
      </c>
      <c r="C84" s="41">
        <f t="shared" si="23"/>
        <v>0.65612933120527206</v>
      </c>
      <c r="D84" s="41">
        <f t="shared" si="24"/>
        <v>0.62483049847369898</v>
      </c>
      <c r="E84" s="41">
        <f t="shared" ref="E84:E100" si="26">E33/E$51</f>
        <v>0.5910376046327388</v>
      </c>
      <c r="F84" s="41">
        <f t="shared" si="21"/>
        <v>0.5729351452518513</v>
      </c>
      <c r="G84" s="41"/>
      <c r="H84" s="45"/>
      <c r="I84" s="41">
        <f t="shared" si="18"/>
        <v>1.0886620377165768</v>
      </c>
      <c r="J84" s="41">
        <f t="shared" si="25"/>
        <v>0.83215995494226991</v>
      </c>
      <c r="K84" s="41">
        <f t="shared" si="17"/>
        <v>0.70768846729905155</v>
      </c>
      <c r="L84" s="45"/>
      <c r="M84" s="41">
        <f t="shared" si="22"/>
        <v>0.60842201056097023</v>
      </c>
      <c r="N84" s="41"/>
    </row>
    <row r="85" spans="1:14" x14ac:dyDescent="0.2">
      <c r="A85" s="1">
        <f t="shared" si="16"/>
        <v>2000</v>
      </c>
      <c r="B85" s="41">
        <f t="shared" si="20"/>
        <v>0.79333428286568863</v>
      </c>
      <c r="C85" s="41">
        <f t="shared" si="23"/>
        <v>0.99716830561705194</v>
      </c>
      <c r="D85" s="41">
        <f t="shared" si="24"/>
        <v>0.63680081584582748</v>
      </c>
      <c r="E85" s="41">
        <f t="shared" si="26"/>
        <v>0.72471078554166524</v>
      </c>
      <c r="F85" s="41">
        <f t="shared" si="21"/>
        <v>0.64402311009846203</v>
      </c>
      <c r="G85" s="41"/>
      <c r="H85" s="45"/>
      <c r="I85" s="41">
        <f t="shared" si="18"/>
        <v>1.6569931551110704</v>
      </c>
      <c r="J85" s="41">
        <f t="shared" si="25"/>
        <v>0.65136581244719804</v>
      </c>
      <c r="K85" s="41">
        <f t="shared" si="17"/>
        <v>0.45431852221667501</v>
      </c>
      <c r="L85" s="41"/>
      <c r="M85" s="41">
        <f t="shared" si="22"/>
        <v>0.91780261462399948</v>
      </c>
      <c r="N85" s="41"/>
    </row>
    <row r="86" spans="1:14" x14ac:dyDescent="0.2">
      <c r="A86" s="1">
        <f t="shared" si="16"/>
        <v>2001</v>
      </c>
      <c r="B86" s="41">
        <f t="shared" si="20"/>
        <v>0.72211935621706302</v>
      </c>
      <c r="C86" s="41">
        <f t="shared" si="23"/>
        <v>0.83282706070123047</v>
      </c>
      <c r="D86" s="41">
        <f t="shared" si="24"/>
        <v>0.91166125063438186</v>
      </c>
      <c r="E86" s="41">
        <f t="shared" si="26"/>
        <v>0.8538756381208118</v>
      </c>
      <c r="F86" s="41">
        <f t="shared" si="21"/>
        <v>0.74481568882740667</v>
      </c>
      <c r="G86" s="41"/>
      <c r="H86" s="45"/>
      <c r="I86" s="41">
        <f t="shared" si="18"/>
        <v>1.7149560577501388</v>
      </c>
      <c r="J86" s="41">
        <f t="shared" si="25"/>
        <v>0.5482962545761757</v>
      </c>
      <c r="K86" s="41">
        <f t="shared" si="17"/>
        <v>1.5639041437843237</v>
      </c>
      <c r="L86" s="41">
        <f t="shared" ref="L86:L97" si="27">L35/L$51</f>
        <v>0.65601965601965617</v>
      </c>
      <c r="M86" s="41">
        <f t="shared" si="22"/>
        <v>1.1348263481296528</v>
      </c>
      <c r="N86" s="41"/>
    </row>
    <row r="87" spans="1:14" x14ac:dyDescent="0.2">
      <c r="A87" s="1">
        <f t="shared" si="16"/>
        <v>2002</v>
      </c>
      <c r="B87" s="41">
        <f t="shared" si="20"/>
        <v>0.75772681954137588</v>
      </c>
      <c r="C87" s="41">
        <f t="shared" si="23"/>
        <v>1.0070534932811614</v>
      </c>
      <c r="D87" s="41">
        <f t="shared" si="24"/>
        <v>0.9286433682002081</v>
      </c>
      <c r="E87" s="41">
        <f t="shared" si="26"/>
        <v>0.9969094820789729</v>
      </c>
      <c r="F87" s="41">
        <f t="shared" si="21"/>
        <v>1.0262055496785742</v>
      </c>
      <c r="G87" s="41"/>
      <c r="H87" s="45"/>
      <c r="I87" s="41">
        <f t="shared" si="18"/>
        <v>1.2750937941387315</v>
      </c>
      <c r="J87" s="41">
        <f t="shared" si="25"/>
        <v>0.44438186426358772</v>
      </c>
      <c r="K87" s="41">
        <f t="shared" si="17"/>
        <v>1.834747878182726</v>
      </c>
      <c r="L87" s="41">
        <f t="shared" si="27"/>
        <v>1.0171990171990173</v>
      </c>
      <c r="M87" s="41">
        <f t="shared" si="22"/>
        <v>1.0568847049466787</v>
      </c>
      <c r="N87" s="41"/>
    </row>
    <row r="88" spans="1:14" x14ac:dyDescent="0.2">
      <c r="A88" s="1">
        <f t="shared" si="16"/>
        <v>2003</v>
      </c>
      <c r="B88" s="41">
        <f t="shared" si="20"/>
        <v>0.8161230593932487</v>
      </c>
      <c r="C88" s="41">
        <f t="shared" si="23"/>
        <v>0.83776965453328522</v>
      </c>
      <c r="D88" s="41">
        <f>D37/D$51</f>
        <v>0.83207959139159038</v>
      </c>
      <c r="E88" s="41">
        <f t="shared" si="26"/>
        <v>1.1433591185517291</v>
      </c>
      <c r="F88" s="41">
        <f t="shared" si="21"/>
        <v>1.2115420294572383</v>
      </c>
      <c r="G88" s="41"/>
      <c r="H88" s="45"/>
      <c r="I88" s="41">
        <f t="shared" si="18"/>
        <v>1.4120512127730449</v>
      </c>
      <c r="J88" s="41">
        <f t="shared" si="25"/>
        <v>0.63193466629118566</v>
      </c>
      <c r="K88" s="41">
        <f t="shared" si="17"/>
        <v>2.1492760858711937</v>
      </c>
      <c r="L88" s="41">
        <f t="shared" si="27"/>
        <v>1.2383292383292384</v>
      </c>
      <c r="M88" s="41">
        <f>M37/M$51</f>
        <v>1.0383934477629631</v>
      </c>
      <c r="N88" s="41"/>
    </row>
    <row r="89" spans="1:14" x14ac:dyDescent="0.2">
      <c r="A89" s="1">
        <f t="shared" si="16"/>
        <v>2004</v>
      </c>
      <c r="B89" s="41">
        <f t="shared" si="20"/>
        <v>0.96282580828941744</v>
      </c>
      <c r="C89" s="41">
        <f t="shared" si="23"/>
        <v>1.2307058641816402</v>
      </c>
      <c r="D89" s="41">
        <f t="shared" si="24"/>
        <v>0.77838805155664303</v>
      </c>
      <c r="E89" s="41">
        <f t="shared" si="26"/>
        <v>0.91755791975104384</v>
      </c>
      <c r="F89" s="41">
        <f t="shared" si="21"/>
        <v>1.2486093254129711</v>
      </c>
      <c r="G89" s="41"/>
      <c r="H89" s="45"/>
      <c r="I89" s="41">
        <f t="shared" si="18"/>
        <v>1.2804311703210567</v>
      </c>
      <c r="J89" s="41">
        <f t="shared" si="25"/>
        <v>0.65221064488876379</v>
      </c>
      <c r="K89" s="41">
        <f t="shared" si="17"/>
        <v>2.3676984523215183</v>
      </c>
      <c r="L89" s="41">
        <f t="shared" si="27"/>
        <v>1.1572481572481574</v>
      </c>
      <c r="M89" s="41">
        <f t="shared" si="22"/>
        <v>0.985007398797074</v>
      </c>
      <c r="N89" s="41"/>
    </row>
    <row r="90" spans="1:14" x14ac:dyDescent="0.2">
      <c r="A90" s="1">
        <f t="shared" si="16"/>
        <v>2005</v>
      </c>
      <c r="B90" s="41">
        <f t="shared" si="20"/>
        <v>0.96852300242130751</v>
      </c>
      <c r="C90" s="41">
        <f t="shared" si="23"/>
        <v>0.87854605364773708</v>
      </c>
      <c r="D90" s="41">
        <f t="shared" si="24"/>
        <v>0.75534425874048083</v>
      </c>
      <c r="E90" s="41">
        <f t="shared" si="26"/>
        <v>1.0044083683080778</v>
      </c>
      <c r="F90" s="41">
        <f t="shared" si="21"/>
        <v>1.1710049637887541</v>
      </c>
      <c r="G90" s="41"/>
      <c r="H90" s="45"/>
      <c r="I90" s="41">
        <f t="shared" si="18"/>
        <v>1.0917210322770396</v>
      </c>
      <c r="J90" s="41">
        <f t="shared" si="25"/>
        <v>0.57955505491410864</v>
      </c>
      <c r="K90" s="41">
        <f t="shared" si="17"/>
        <v>1.4241138292561162</v>
      </c>
      <c r="L90" s="41">
        <f t="shared" si="27"/>
        <v>0.60442260442260443</v>
      </c>
      <c r="M90" s="41">
        <f t="shared" si="22"/>
        <v>1.080446145551736</v>
      </c>
      <c r="N90" s="41"/>
    </row>
    <row r="91" spans="1:14" x14ac:dyDescent="0.2">
      <c r="A91" s="1">
        <f t="shared" si="16"/>
        <v>2006</v>
      </c>
      <c r="B91" s="41">
        <f t="shared" si="20"/>
        <v>0.75345392394245836</v>
      </c>
      <c r="C91" s="41">
        <f t="shared" si="23"/>
        <v>0.95144931267054511</v>
      </c>
      <c r="D91" s="41">
        <f t="shared" si="24"/>
        <v>1.0510509660810659</v>
      </c>
      <c r="E91" s="41">
        <f t="shared" si="26"/>
        <v>1.7553047390054497</v>
      </c>
      <c r="F91" s="41">
        <f t="shared" si="21"/>
        <v>1.0870534624460899</v>
      </c>
      <c r="G91" s="41"/>
      <c r="H91" s="45"/>
      <c r="I91" s="41">
        <f t="shared" si="18"/>
        <v>1.1263330938114895</v>
      </c>
      <c r="J91" s="41">
        <f t="shared" si="25"/>
        <v>1.2655589974655026</v>
      </c>
      <c r="K91" s="41">
        <f t="shared" si="17"/>
        <v>1.3804293559660512</v>
      </c>
      <c r="L91" s="41">
        <f t="shared" si="27"/>
        <v>0.86977886977886987</v>
      </c>
      <c r="M91" s="41">
        <f t="shared" si="22"/>
        <v>0.90209498755396134</v>
      </c>
      <c r="N91" s="41"/>
    </row>
    <row r="92" spans="1:14" x14ac:dyDescent="0.2">
      <c r="A92" s="1">
        <f t="shared" si="16"/>
        <v>2007</v>
      </c>
      <c r="B92" s="41">
        <f t="shared" si="20"/>
        <v>1.1437117219769264</v>
      </c>
      <c r="C92" s="41">
        <f t="shared" si="23"/>
        <v>1.0750141584719146</v>
      </c>
      <c r="D92" s="41">
        <f t="shared" si="24"/>
        <v>1.0722403629737369</v>
      </c>
      <c r="E92" s="41">
        <f t="shared" si="26"/>
        <v>1.5500128581216264</v>
      </c>
      <c r="F92" s="41">
        <f t="shared" si="21"/>
        <v>1.3919700545203029</v>
      </c>
      <c r="G92" s="41">
        <f t="shared" ref="G92:G100" si="28">G41/G$51</f>
        <v>0.19766355140186917</v>
      </c>
      <c r="H92" s="45"/>
      <c r="I92" s="41">
        <f t="shared" si="18"/>
        <v>0.76555626039483782</v>
      </c>
      <c r="J92" s="41">
        <f t="shared" si="25"/>
        <v>0.79414249507181078</v>
      </c>
      <c r="K92" s="41">
        <f t="shared" si="17"/>
        <v>1.7473789316025965</v>
      </c>
      <c r="L92" s="41">
        <f t="shared" si="27"/>
        <v>0.5528255528255529</v>
      </c>
      <c r="M92" s="41">
        <f t="shared" si="22"/>
        <v>0.84184927866508097</v>
      </c>
      <c r="N92" s="41">
        <f t="shared" ref="N92:N99" si="29">N41/N$51</f>
        <v>0.85917289123701945</v>
      </c>
    </row>
    <row r="93" spans="1:14" x14ac:dyDescent="0.2">
      <c r="A93" s="1">
        <f t="shared" si="16"/>
        <v>2008</v>
      </c>
      <c r="B93" s="41">
        <f t="shared" si="20"/>
        <v>0.96140150975644489</v>
      </c>
      <c r="C93" s="41">
        <f t="shared" si="23"/>
        <v>0.78834371621273747</v>
      </c>
      <c r="D93" s="41">
        <f t="shared" si="24"/>
        <v>1.6516447633471687</v>
      </c>
      <c r="E93" s="41">
        <f t="shared" si="26"/>
        <v>0.91207323462197121</v>
      </c>
      <c r="F93" s="41">
        <f t="shared" si="21"/>
        <v>1.4765985840996012</v>
      </c>
      <c r="G93" s="41">
        <f t="shared" si="28"/>
        <v>0.78644859813084111</v>
      </c>
      <c r="H93" s="45"/>
      <c r="I93" s="41">
        <f t="shared" si="18"/>
        <v>0.75029802818001012</v>
      </c>
      <c r="J93" s="41">
        <f t="shared" si="25"/>
        <v>0.98760912419036895</v>
      </c>
      <c r="K93" s="41">
        <f t="shared" si="17"/>
        <v>1.9832750873689469</v>
      </c>
      <c r="L93" s="41">
        <f t="shared" si="27"/>
        <v>0.97297297297297314</v>
      </c>
      <c r="M93" s="41">
        <f t="shared" si="22"/>
        <v>0.74342807107433584</v>
      </c>
      <c r="N93" s="41">
        <f t="shared" si="29"/>
        <v>1.0920021861905629</v>
      </c>
    </row>
    <row r="94" spans="1:14" x14ac:dyDescent="0.2">
      <c r="A94" s="1">
        <f t="shared" si="16"/>
        <v>2009</v>
      </c>
      <c r="B94" s="41">
        <f t="shared" si="20"/>
        <v>1.2277453354223045</v>
      </c>
      <c r="C94" s="41">
        <f t="shared" si="23"/>
        <v>1.6681254183184884</v>
      </c>
      <c r="D94" s="41">
        <f t="shared" si="24"/>
        <v>1.5850621513895753</v>
      </c>
      <c r="E94" s="41">
        <f t="shared" si="26"/>
        <v>1.4639274435299647</v>
      </c>
      <c r="F94" s="41">
        <f t="shared" si="21"/>
        <v>1.4244674098787535</v>
      </c>
      <c r="G94" s="41">
        <f t="shared" si="28"/>
        <v>2.802336448598131</v>
      </c>
      <c r="H94" s="45"/>
      <c r="I94" s="41">
        <f t="shared" si="18"/>
        <v>1.1715500541769861</v>
      </c>
      <c r="J94" s="41">
        <f t="shared" si="25"/>
        <v>1.2469726837510562</v>
      </c>
      <c r="K94" s="41">
        <f t="shared" si="17"/>
        <v>1.6687468796804796</v>
      </c>
      <c r="L94" s="41">
        <f t="shared" si="27"/>
        <v>0.85503685503685511</v>
      </c>
      <c r="M94" s="41">
        <f t="shared" si="22"/>
        <v>0.89682597341021442</v>
      </c>
      <c r="N94" s="41">
        <f t="shared" si="29"/>
        <v>0.82801967571506641</v>
      </c>
    </row>
    <row r="95" spans="1:14" x14ac:dyDescent="0.2">
      <c r="A95" s="1">
        <f t="shared" si="16"/>
        <v>2010</v>
      </c>
      <c r="B95" s="41">
        <f t="shared" si="20"/>
        <v>1.0739210938612733</v>
      </c>
      <c r="C95" s="41">
        <f t="shared" si="23"/>
        <v>1.0910775884260926</v>
      </c>
      <c r="D95" s="41">
        <f t="shared" si="24"/>
        <v>1.7103977458773099</v>
      </c>
      <c r="E95" s="41">
        <f t="shared" si="26"/>
        <v>1.197245146727739</v>
      </c>
      <c r="F95" s="41">
        <f t="shared" si="21"/>
        <v>1.3207974611441127</v>
      </c>
      <c r="G95" s="41">
        <f t="shared" si="28"/>
        <v>0.39813084112149538</v>
      </c>
      <c r="H95" s="51"/>
      <c r="I95" s="41">
        <f t="shared" si="18"/>
        <v>1.7226257511270597</v>
      </c>
      <c r="J95" s="41">
        <f t="shared" si="25"/>
        <v>1.2419036891016615</v>
      </c>
      <c r="K95" s="41">
        <f t="shared" si="17"/>
        <v>1.6949575636545184</v>
      </c>
      <c r="L95" s="41">
        <f t="shared" si="27"/>
        <v>1.9238329238329239</v>
      </c>
      <c r="M95" s="41">
        <f t="shared" si="22"/>
        <v>1.00170917947914</v>
      </c>
      <c r="N95" s="41">
        <f t="shared" si="29"/>
        <v>1.0756057569684823</v>
      </c>
    </row>
    <row r="96" spans="1:14" x14ac:dyDescent="0.2">
      <c r="A96" s="1">
        <f t="shared" si="16"/>
        <v>2011</v>
      </c>
      <c r="B96" s="41">
        <f t="shared" si="20"/>
        <v>1.0027061672126476</v>
      </c>
      <c r="C96" s="41">
        <f t="shared" si="23"/>
        <v>1.5581527055552693</v>
      </c>
      <c r="D96" s="41">
        <f t="shared" si="24"/>
        <v>1.1100081638692125</v>
      </c>
      <c r="E96" s="41">
        <f t="shared" si="26"/>
        <v>0.77661626893422431</v>
      </c>
      <c r="F96" s="41">
        <f t="shared" si="21"/>
        <v>1.0809602083163807</v>
      </c>
      <c r="G96" s="41">
        <f t="shared" si="28"/>
        <v>1.4425233644859814</v>
      </c>
      <c r="H96" s="45"/>
      <c r="I96" s="41"/>
      <c r="J96" s="41">
        <f t="shared" si="25"/>
        <v>2.6629118558152634</v>
      </c>
      <c r="K96" s="41">
        <f t="shared" si="17"/>
        <v>3.4423364952571149</v>
      </c>
      <c r="L96" s="41">
        <f t="shared" si="27"/>
        <v>0.87714987714987724</v>
      </c>
      <c r="M96" s="41">
        <f t="shared" si="22"/>
        <v>1.3324640862007653</v>
      </c>
      <c r="N96" s="41">
        <f t="shared" si="29"/>
        <v>1.1772636181453815</v>
      </c>
    </row>
    <row r="97" spans="1:14" x14ac:dyDescent="0.2">
      <c r="A97" s="1">
        <f t="shared" si="16"/>
        <v>2012</v>
      </c>
      <c r="B97" s="41">
        <f t="shared" si="20"/>
        <v>0.73066514741489808</v>
      </c>
      <c r="C97" s="41">
        <f t="shared" si="23"/>
        <v>1.3653915461051329</v>
      </c>
      <c r="D97" s="41">
        <f t="shared" si="24"/>
        <v>0.90034933212677415</v>
      </c>
      <c r="E97" s="41">
        <f t="shared" si="26"/>
        <v>0.93572035682320254</v>
      </c>
      <c r="F97" s="41">
        <f t="shared" si="21"/>
        <v>1.2965937016844333</v>
      </c>
      <c r="G97" s="41">
        <f t="shared" si="28"/>
        <v>1.2266355140186915</v>
      </c>
      <c r="I97" s="41"/>
      <c r="J97" s="41">
        <f t="shared" si="25"/>
        <v>2.0132357082511971</v>
      </c>
      <c r="K97" s="41">
        <f t="shared" si="17"/>
        <v>1.948327508736895</v>
      </c>
      <c r="L97" s="41">
        <f t="shared" si="27"/>
        <v>1.2751842751842755</v>
      </c>
      <c r="M97" s="41">
        <f t="shared" si="22"/>
        <v>1.2429902611182697</v>
      </c>
      <c r="N97" s="41">
        <f t="shared" si="29"/>
        <v>1.1149571871014756</v>
      </c>
    </row>
    <row r="98" spans="1:14" x14ac:dyDescent="0.2">
      <c r="A98" s="1">
        <f t="shared" si="16"/>
        <v>2013</v>
      </c>
      <c r="B98" s="41">
        <f t="shared" si="20"/>
        <v>0.77339410340407344</v>
      </c>
      <c r="C98" s="41">
        <f t="shared" si="23"/>
        <v>0.96009885187664101</v>
      </c>
      <c r="D98" s="41">
        <f t="shared" si="24"/>
        <v>0.66128851698502356</v>
      </c>
      <c r="E98" s="41">
        <f t="shared" si="26"/>
        <v>0.91979023967199869</v>
      </c>
      <c r="F98" s="41">
        <f t="shared" si="21"/>
        <v>0.97923671576206373</v>
      </c>
      <c r="G98" s="41">
        <f t="shared" si="28"/>
        <v>0.45841121495327103</v>
      </c>
      <c r="J98" s="41">
        <f t="shared" si="25"/>
        <v>1.0366094058011828</v>
      </c>
      <c r="L98" s="41"/>
      <c r="M98" s="41">
        <f t="shared" si="22"/>
        <v>1.3286863024750599</v>
      </c>
      <c r="N98" s="41">
        <f t="shared" si="29"/>
        <v>0.92475860812534139</v>
      </c>
    </row>
    <row r="99" spans="1:14" x14ac:dyDescent="0.2">
      <c r="A99" s="1">
        <f t="shared" si="16"/>
        <v>2014</v>
      </c>
      <c r="B99" s="41">
        <f t="shared" si="20"/>
        <v>0.69648198262355787</v>
      </c>
      <c r="C99" s="41">
        <f t="shared" si="23"/>
        <v>1.0021108994491068</v>
      </c>
      <c r="D99" s="41">
        <f t="shared" si="24"/>
        <v>1.3153634169988297</v>
      </c>
      <c r="E99" s="41">
        <f t="shared" si="26"/>
        <v>0.91197776718551404</v>
      </c>
      <c r="F99" s="41">
        <f t="shared" si="21"/>
        <v>0.92735942712995378</v>
      </c>
      <c r="G99" s="41">
        <f t="shared" si="28"/>
        <v>1.2967289719626169</v>
      </c>
      <c r="J99" s="41">
        <f t="shared" si="25"/>
        <v>2.314840889890172</v>
      </c>
      <c r="L99" s="41"/>
      <c r="M99" s="41">
        <f t="shared" si="22"/>
        <v>1.3101950452913442</v>
      </c>
      <c r="N99" s="41">
        <f t="shared" si="29"/>
        <v>1.3035161231554016</v>
      </c>
    </row>
    <row r="100" spans="1:14" x14ac:dyDescent="0.2">
      <c r="A100" s="1">
        <f t="shared" si="16"/>
        <v>2015</v>
      </c>
      <c r="B100" s="41">
        <f t="shared" si="20"/>
        <v>0.68936048995869526</v>
      </c>
      <c r="C100" s="41">
        <f t="shared" si="23"/>
        <v>0.77845852854862785</v>
      </c>
      <c r="D100" s="41">
        <f t="shared" si="24"/>
        <v>0.72049425293020519</v>
      </c>
      <c r="E100" s="41">
        <f t="shared" si="26"/>
        <v>0.34547302839327204</v>
      </c>
      <c r="F100" s="41">
        <f t="shared" si="21"/>
        <v>1.058449019448287</v>
      </c>
      <c r="G100" s="41">
        <f t="shared" si="28"/>
        <v>0.39112149532710283</v>
      </c>
      <c r="M100" s="41">
        <f t="shared" si="22"/>
        <v>1.1809550757277394</v>
      </c>
    </row>
    <row r="103" spans="1:14" ht="18" x14ac:dyDescent="0.25">
      <c r="B103" s="45"/>
      <c r="C103" s="45"/>
      <c r="D103" s="45"/>
      <c r="E103" s="52"/>
      <c r="F103" s="53" t="s">
        <v>20</v>
      </c>
      <c r="G103" s="52"/>
      <c r="H103" s="45"/>
      <c r="I103" s="45"/>
      <c r="J103" s="45"/>
      <c r="K103" s="45"/>
      <c r="L103" s="45"/>
      <c r="M103" s="45"/>
      <c r="N103" s="45"/>
    </row>
    <row r="104" spans="1:14" x14ac:dyDescent="0.2">
      <c r="B104" s="123" t="s">
        <v>122</v>
      </c>
      <c r="D104" s="6"/>
      <c r="E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2">
      <c r="A105" s="33"/>
      <c r="B105" s="34" t="str">
        <f t="shared" ref="B105:G105" si="30">B55</f>
        <v>US-Log</v>
      </c>
      <c r="C105" s="34" t="str">
        <f t="shared" si="30"/>
        <v>US-Obs</v>
      </c>
      <c r="D105" s="34" t="str">
        <f t="shared" si="30"/>
        <v>JPLL-N</v>
      </c>
      <c r="E105" s="34" t="str">
        <f t="shared" si="30"/>
        <v>POR-LL-N</v>
      </c>
      <c r="F105" s="34" t="str">
        <f t="shared" si="30"/>
        <v>ESP-LL-N</v>
      </c>
      <c r="G105" s="34" t="str">
        <f t="shared" si="30"/>
        <v>CH-TA-LLN</v>
      </c>
      <c r="H105" s="34"/>
      <c r="I105" s="34" t="str">
        <f t="shared" ref="I105:N105" si="31">I55</f>
        <v>UR-LL-Log</v>
      </c>
      <c r="J105" s="34" t="str">
        <f t="shared" si="31"/>
        <v>JPLL-S</v>
      </c>
      <c r="K105" s="34" t="str">
        <f t="shared" si="31"/>
        <v>BR-LL</v>
      </c>
      <c r="L105" s="34" t="str">
        <f t="shared" si="31"/>
        <v>UR-LL-Obs</v>
      </c>
      <c r="M105" s="34" t="str">
        <f t="shared" si="31"/>
        <v>ESP-LL-S</v>
      </c>
      <c r="N105" s="34" t="str">
        <f t="shared" si="31"/>
        <v>CH-TA-LLS</v>
      </c>
    </row>
    <row r="106" spans="1:14" x14ac:dyDescent="0.2">
      <c r="A106" s="1">
        <f t="shared" ref="A106:A150" si="32">A56</f>
        <v>1971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</row>
    <row r="107" spans="1:14" x14ac:dyDescent="0.2">
      <c r="A107" s="1">
        <f t="shared" si="32"/>
        <v>1972</v>
      </c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</row>
    <row r="108" spans="1:14" x14ac:dyDescent="0.2">
      <c r="A108" s="1">
        <f t="shared" si="32"/>
        <v>1973</v>
      </c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</row>
    <row r="109" spans="1:14" x14ac:dyDescent="0.2">
      <c r="A109" s="1">
        <f t="shared" si="32"/>
        <v>1974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</row>
    <row r="110" spans="1:14" x14ac:dyDescent="0.2">
      <c r="A110" s="1">
        <f t="shared" si="32"/>
        <v>1975</v>
      </c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</row>
    <row r="111" spans="1:14" x14ac:dyDescent="0.2">
      <c r="A111" s="1">
        <f t="shared" si="32"/>
        <v>1976</v>
      </c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</row>
    <row r="112" spans="1:14" x14ac:dyDescent="0.2">
      <c r="A112" s="1">
        <f t="shared" si="32"/>
        <v>1977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41"/>
      <c r="L112" s="35"/>
      <c r="M112" s="35"/>
      <c r="N112" s="35"/>
    </row>
    <row r="113" spans="1:14" x14ac:dyDescent="0.2">
      <c r="A113" s="1">
        <f t="shared" si="32"/>
        <v>1978</v>
      </c>
      <c r="B113" s="35"/>
      <c r="C113" s="35"/>
      <c r="D113" s="35"/>
      <c r="E113" s="35"/>
      <c r="F113" s="35"/>
      <c r="G113" s="44"/>
      <c r="H113" s="35"/>
      <c r="I113" s="44"/>
      <c r="J113" s="35"/>
      <c r="K113" s="41">
        <f>K12/AVERAGE(K$41:K$44)</f>
        <v>6.4039408866995065E-2</v>
      </c>
      <c r="L113" s="35"/>
      <c r="M113" s="35"/>
      <c r="N113" s="35"/>
    </row>
    <row r="114" spans="1:14" x14ac:dyDescent="0.2">
      <c r="A114" s="1">
        <f t="shared" si="32"/>
        <v>1979</v>
      </c>
      <c r="B114" s="35"/>
      <c r="C114" s="35"/>
      <c r="D114" s="35"/>
      <c r="E114" s="35"/>
      <c r="F114" s="35"/>
      <c r="G114" s="44"/>
      <c r="H114" s="35"/>
      <c r="I114" s="44"/>
      <c r="J114" s="35"/>
      <c r="K114" s="41">
        <f t="shared" ref="K114:K129" si="33">K13/AVERAGE(K$41:K$44)</f>
        <v>3.4482758620689655E-2</v>
      </c>
      <c r="L114" s="35"/>
      <c r="M114" s="35"/>
      <c r="N114" s="35"/>
    </row>
    <row r="115" spans="1:14" x14ac:dyDescent="0.2">
      <c r="A115" s="1">
        <f t="shared" si="32"/>
        <v>1980</v>
      </c>
      <c r="B115" s="35"/>
      <c r="C115" s="35"/>
      <c r="D115" s="35"/>
      <c r="E115" s="35"/>
      <c r="F115" s="35"/>
      <c r="G115" s="44"/>
      <c r="H115" s="35"/>
      <c r="I115" s="44"/>
      <c r="J115" s="35"/>
      <c r="K115" s="41">
        <f t="shared" si="33"/>
        <v>0.1625615763546798</v>
      </c>
      <c r="L115" s="35"/>
      <c r="M115" s="35"/>
      <c r="N115" s="35"/>
    </row>
    <row r="116" spans="1:14" x14ac:dyDescent="0.2">
      <c r="A116" s="1">
        <f t="shared" si="32"/>
        <v>1981</v>
      </c>
      <c r="B116" s="41"/>
      <c r="C116" s="41"/>
      <c r="D116" s="41"/>
      <c r="E116" s="45"/>
      <c r="F116" s="45"/>
      <c r="G116" s="41"/>
      <c r="H116" s="45"/>
      <c r="I116" s="41"/>
      <c r="J116" s="45"/>
      <c r="K116" s="41">
        <f>K15/AVERAGE(K$41:K$44)</f>
        <v>4.926108374384236E-2</v>
      </c>
      <c r="L116" s="45"/>
      <c r="M116" s="45"/>
      <c r="N116" s="41"/>
    </row>
    <row r="117" spans="1:14" x14ac:dyDescent="0.2">
      <c r="A117" s="1">
        <f t="shared" si="32"/>
        <v>1982</v>
      </c>
      <c r="B117" s="41"/>
      <c r="C117" s="41"/>
      <c r="D117" s="41"/>
      <c r="E117" s="45"/>
      <c r="F117" s="45"/>
      <c r="G117" s="41"/>
      <c r="H117" s="45"/>
      <c r="I117" s="41">
        <f>I16/AVERAGE(I$41:I$44)</f>
        <v>1.6160904996165149</v>
      </c>
      <c r="J117" s="45"/>
      <c r="K117" s="41">
        <f t="shared" si="33"/>
        <v>4.926108374384236E-2</v>
      </c>
      <c r="L117" s="45"/>
      <c r="M117" s="45"/>
      <c r="N117" s="41"/>
    </row>
    <row r="118" spans="1:14" x14ac:dyDescent="0.2">
      <c r="A118" s="1">
        <f t="shared" si="32"/>
        <v>1983</v>
      </c>
      <c r="B118" s="41"/>
      <c r="C118" s="41"/>
      <c r="D118" s="41"/>
      <c r="E118" s="45"/>
      <c r="F118" s="45"/>
      <c r="G118" s="41"/>
      <c r="H118" s="45"/>
      <c r="I118" s="41">
        <f t="shared" ref="I118:K133" si="34">I17/AVERAGE(I$41:I$44)</f>
        <v>0.62584232115505667</v>
      </c>
      <c r="J118" s="45"/>
      <c r="K118" s="41">
        <f t="shared" si="33"/>
        <v>2.9556650246305417E-2</v>
      </c>
      <c r="L118" s="45"/>
      <c r="M118" s="45"/>
      <c r="N118" s="41"/>
    </row>
    <row r="119" spans="1:14" x14ac:dyDescent="0.2">
      <c r="A119" s="1">
        <f t="shared" si="32"/>
        <v>1984</v>
      </c>
      <c r="B119" s="41"/>
      <c r="C119" s="41"/>
      <c r="D119" s="41"/>
      <c r="E119" s="45"/>
      <c r="F119" s="45"/>
      <c r="G119" s="41"/>
      <c r="H119" s="45"/>
      <c r="I119" s="41">
        <f t="shared" si="34"/>
        <v>0.29707881956479393</v>
      </c>
      <c r="J119" s="45"/>
      <c r="K119" s="41">
        <f>K18/AVERAGE(K$41:K$44)</f>
        <v>0.19704433497536944</v>
      </c>
      <c r="L119" s="45"/>
      <c r="M119" s="45"/>
      <c r="N119" s="41"/>
    </row>
    <row r="120" spans="1:14" x14ac:dyDescent="0.2">
      <c r="A120" s="1">
        <f t="shared" si="32"/>
        <v>1985</v>
      </c>
      <c r="B120" s="41"/>
      <c r="C120" s="41"/>
      <c r="D120" s="41"/>
      <c r="E120" s="45"/>
      <c r="F120" s="45"/>
      <c r="G120" s="41"/>
      <c r="H120" s="45"/>
      <c r="I120" s="41">
        <f t="shared" si="34"/>
        <v>0.22803752292825258</v>
      </c>
      <c r="J120" s="45"/>
      <c r="K120" s="41">
        <f t="shared" si="33"/>
        <v>0.2857142857142857</v>
      </c>
      <c r="L120" s="45"/>
      <c r="M120" s="45"/>
      <c r="N120" s="41"/>
    </row>
    <row r="121" spans="1:14" x14ac:dyDescent="0.2">
      <c r="A121" s="1">
        <f t="shared" si="32"/>
        <v>1986</v>
      </c>
      <c r="B121" s="41">
        <f>B20/AVERAGE(B$41:B$49)</f>
        <v>1.7870259138493221</v>
      </c>
      <c r="C121" s="41"/>
      <c r="D121" s="41"/>
      <c r="E121" s="45"/>
      <c r="F121" s="45"/>
      <c r="G121" s="41"/>
      <c r="H121" s="45"/>
      <c r="I121" s="41">
        <f t="shared" si="34"/>
        <v>0.25779413899329306</v>
      </c>
      <c r="J121" s="45"/>
      <c r="K121" s="41">
        <f t="shared" si="33"/>
        <v>0.21674876847290639</v>
      </c>
      <c r="L121" s="45"/>
      <c r="M121" s="45"/>
      <c r="N121" s="41"/>
    </row>
    <row r="122" spans="1:14" x14ac:dyDescent="0.2">
      <c r="A122" s="1">
        <f t="shared" si="32"/>
        <v>1987</v>
      </c>
      <c r="B122" s="41">
        <f>B21/AVERAGE(B$41:B$49)</f>
        <v>1.7962931182426634</v>
      </c>
      <c r="C122" s="41"/>
      <c r="D122" s="41"/>
      <c r="E122" s="45"/>
      <c r="F122" s="45"/>
      <c r="G122" s="41"/>
      <c r="H122" s="45"/>
      <c r="I122" s="41">
        <f t="shared" si="34"/>
        <v>0.48366257631137199</v>
      </c>
      <c r="J122" s="45"/>
      <c r="K122" s="41">
        <f t="shared" si="33"/>
        <v>0.10344827586206896</v>
      </c>
      <c r="L122" s="45"/>
      <c r="M122" s="45"/>
      <c r="N122" s="41"/>
    </row>
    <row r="123" spans="1:14" x14ac:dyDescent="0.2">
      <c r="A123" s="1">
        <f t="shared" si="32"/>
        <v>1988</v>
      </c>
      <c r="B123" s="41">
        <f t="shared" ref="B123:E137" si="35">B22/AVERAGE(B$41:B$49)</f>
        <v>1.4163377381156683</v>
      </c>
      <c r="C123" s="41"/>
      <c r="D123" s="41"/>
      <c r="E123" s="45"/>
      <c r="F123" s="45"/>
      <c r="G123" s="41"/>
      <c r="H123" s="45"/>
      <c r="I123" s="41">
        <f t="shared" si="34"/>
        <v>0.34871666944988106</v>
      </c>
      <c r="J123" s="45"/>
      <c r="K123" s="41">
        <f t="shared" si="33"/>
        <v>0.36945812807881767</v>
      </c>
      <c r="L123" s="45"/>
      <c r="M123" s="45"/>
      <c r="N123" s="41"/>
    </row>
    <row r="124" spans="1:14" x14ac:dyDescent="0.2">
      <c r="A124" s="1">
        <f t="shared" si="32"/>
        <v>1989</v>
      </c>
      <c r="B124" s="41">
        <f t="shared" si="35"/>
        <v>1.6418397116869743</v>
      </c>
      <c r="C124" s="41"/>
      <c r="D124" s="41"/>
      <c r="E124" s="45"/>
      <c r="F124" s="45"/>
      <c r="G124" s="41"/>
      <c r="H124" s="45"/>
      <c r="I124" s="41">
        <f t="shared" si="34"/>
        <v>0.53464706985380994</v>
      </c>
      <c r="J124" s="45"/>
      <c r="K124" s="41">
        <f t="shared" si="33"/>
        <v>0.29064039408866993</v>
      </c>
      <c r="L124" s="45"/>
      <c r="M124" s="41"/>
      <c r="N124" s="41"/>
    </row>
    <row r="125" spans="1:14" x14ac:dyDescent="0.2">
      <c r="A125" s="1">
        <f t="shared" si="32"/>
        <v>1990</v>
      </c>
      <c r="B125" s="41">
        <f t="shared" si="35"/>
        <v>1.2865968766088896</v>
      </c>
      <c r="C125" s="41"/>
      <c r="D125" s="41"/>
      <c r="E125" s="45"/>
      <c r="F125" s="41">
        <f>F24/AVERAGE(F$41:F$49)</f>
        <v>0.74987834549878341</v>
      </c>
      <c r="G125" s="41"/>
      <c r="H125" s="45"/>
      <c r="I125" s="41">
        <f t="shared" si="34"/>
        <v>0.65335241989275195</v>
      </c>
      <c r="J125" s="45"/>
      <c r="K125" s="41">
        <f t="shared" si="33"/>
        <v>0.64532019704433496</v>
      </c>
      <c r="L125" s="45"/>
      <c r="M125" s="41">
        <f t="shared" ref="M125:M150" si="36">M24/AVERAGE(M$41:M$44)</f>
        <v>0.98530376965442446</v>
      </c>
      <c r="N125" s="41"/>
    </row>
    <row r="126" spans="1:14" x14ac:dyDescent="0.2">
      <c r="A126" s="1">
        <f t="shared" si="32"/>
        <v>1991</v>
      </c>
      <c r="B126" s="41">
        <f t="shared" si="35"/>
        <v>1.1429552085120989</v>
      </c>
      <c r="C126" s="41"/>
      <c r="D126" s="41"/>
      <c r="E126" s="45"/>
      <c r="F126" s="41">
        <f t="shared" ref="F126:F150" si="37">F25/AVERAGE(F$41:F$49)</f>
        <v>0.68974626346889112</v>
      </c>
      <c r="G126" s="41"/>
      <c r="H126" s="45"/>
      <c r="I126" s="41">
        <f t="shared" si="34"/>
        <v>0.63596698196979162</v>
      </c>
      <c r="J126" s="45"/>
      <c r="K126" s="41">
        <f t="shared" si="33"/>
        <v>0.21182266009852213</v>
      </c>
      <c r="L126" s="45"/>
      <c r="M126" s="41">
        <f t="shared" si="36"/>
        <v>0.78086921781810914</v>
      </c>
      <c r="N126" s="41"/>
    </row>
    <row r="127" spans="1:14" x14ac:dyDescent="0.2">
      <c r="A127" s="1">
        <f t="shared" si="32"/>
        <v>1992</v>
      </c>
      <c r="B127" s="41">
        <f t="shared" si="35"/>
        <v>1.3530118414278358</v>
      </c>
      <c r="C127" s="41">
        <f>C26/AVERAGE(C$41:C$49)</f>
        <v>1.2118918918918919</v>
      </c>
      <c r="D127" s="41"/>
      <c r="E127" s="45"/>
      <c r="F127" s="41">
        <f t="shared" si="37"/>
        <v>0.79575947167188044</v>
      </c>
      <c r="G127" s="41"/>
      <c r="H127" s="45"/>
      <c r="I127" s="41">
        <f t="shared" si="34"/>
        <v>0.67065205895288904</v>
      </c>
      <c r="J127" s="45"/>
      <c r="K127" s="41">
        <f t="shared" si="33"/>
        <v>0.25615763546798026</v>
      </c>
      <c r="L127" s="45"/>
      <c r="M127" s="41">
        <f t="shared" si="36"/>
        <v>1.0331307251091515</v>
      </c>
      <c r="N127" s="41"/>
    </row>
    <row r="128" spans="1:14" x14ac:dyDescent="0.2">
      <c r="A128" s="1">
        <f t="shared" si="32"/>
        <v>1993</v>
      </c>
      <c r="B128" s="41">
        <f t="shared" si="35"/>
        <v>1.1846576282821348</v>
      </c>
      <c r="C128" s="41">
        <f>C27/AVERAGE(C$41:C$49)</f>
        <v>0.92648648648648657</v>
      </c>
      <c r="D128" s="41"/>
      <c r="E128" s="45"/>
      <c r="F128" s="41">
        <f>F27/AVERAGE(F$41:F$49)</f>
        <v>0.75662148070907187</v>
      </c>
      <c r="G128" s="41"/>
      <c r="H128" s="45"/>
      <c r="I128" s="41">
        <f t="shared" si="34"/>
        <v>0.80871242048623071</v>
      </c>
      <c r="J128" s="45"/>
      <c r="K128" s="41">
        <f t="shared" si="33"/>
        <v>7.389162561576354E-2</v>
      </c>
      <c r="L128" s="45"/>
      <c r="M128" s="41">
        <f t="shared" si="36"/>
        <v>1.0814142624775276</v>
      </c>
      <c r="N128" s="41"/>
    </row>
    <row r="129" spans="1:14" x14ac:dyDescent="0.2">
      <c r="A129" s="1">
        <f t="shared" si="32"/>
        <v>1994</v>
      </c>
      <c r="B129" s="41">
        <f t="shared" si="35"/>
        <v>1.1136090612665177</v>
      </c>
      <c r="C129" s="41">
        <f t="shared" si="35"/>
        <v>0.62270270270270267</v>
      </c>
      <c r="D129" s="41">
        <f>D28/AVERAGE(D$41:D$49)</f>
        <v>1.1829845171625637</v>
      </c>
      <c r="E129" s="45"/>
      <c r="F129" s="41">
        <f t="shared" si="37"/>
        <v>0.69336114007646843</v>
      </c>
      <c r="G129" s="41"/>
      <c r="H129" s="45"/>
      <c r="I129" s="41">
        <f t="shared" si="34"/>
        <v>1.6488619576917602</v>
      </c>
      <c r="J129" s="41">
        <f>J28/AVERAGE(J$41:J$44)</f>
        <v>0.73115727002967346</v>
      </c>
      <c r="K129" s="41">
        <f t="shared" si="33"/>
        <v>0.37931034482758619</v>
      </c>
      <c r="L129" s="45"/>
      <c r="M129" s="41">
        <f t="shared" si="36"/>
        <v>1.0746796792512057</v>
      </c>
      <c r="N129" s="41"/>
    </row>
    <row r="130" spans="1:14" x14ac:dyDescent="0.2">
      <c r="A130" s="1">
        <f t="shared" si="32"/>
        <v>1995</v>
      </c>
      <c r="B130" s="41">
        <f t="shared" si="35"/>
        <v>1.0719066414964817</v>
      </c>
      <c r="C130" s="41">
        <f t="shared" si="35"/>
        <v>0.96216216216216222</v>
      </c>
      <c r="D130" s="41">
        <f t="shared" si="35"/>
        <v>0.71647768587488225</v>
      </c>
      <c r="E130" s="45"/>
      <c r="F130" s="41">
        <f t="shared" si="37"/>
        <v>0.6025721237400069</v>
      </c>
      <c r="G130" s="41"/>
      <c r="H130" s="45"/>
      <c r="I130" s="41">
        <f t="shared" si="34"/>
        <v>1.4397988667090542</v>
      </c>
      <c r="J130" s="41">
        <f t="shared" si="34"/>
        <v>0.46765578635014832</v>
      </c>
      <c r="K130" s="41">
        <f t="shared" si="34"/>
        <v>0.67980295566502469</v>
      </c>
      <c r="L130" s="45"/>
      <c r="M130" s="41">
        <f t="shared" si="36"/>
        <v>1.245327169477499</v>
      </c>
      <c r="N130" s="41"/>
    </row>
    <row r="131" spans="1:14" x14ac:dyDescent="0.2">
      <c r="A131" s="1">
        <f t="shared" si="32"/>
        <v>1996</v>
      </c>
      <c r="B131" s="41">
        <f t="shared" si="35"/>
        <v>0.95452205251415811</v>
      </c>
      <c r="C131" s="41">
        <f t="shared" si="35"/>
        <v>0.55243243243243245</v>
      </c>
      <c r="D131" s="41">
        <f t="shared" si="35"/>
        <v>0.7378043678915015</v>
      </c>
      <c r="E131" s="45"/>
      <c r="F131" s="41">
        <f t="shared" si="37"/>
        <v>0.75801181786583238</v>
      </c>
      <c r="G131" s="41"/>
      <c r="H131" s="45"/>
      <c r="I131" s="41">
        <f t="shared" si="34"/>
        <v>0.69955952137769484</v>
      </c>
      <c r="J131" s="41">
        <f t="shared" si="34"/>
        <v>0.53095944609297729</v>
      </c>
      <c r="K131" s="41">
        <f t="shared" si="34"/>
        <v>0.72413793103448265</v>
      </c>
      <c r="L131" s="45"/>
      <c r="M131" s="41">
        <f t="shared" si="36"/>
        <v>1.4793254002225837</v>
      </c>
      <c r="N131" s="41"/>
    </row>
    <row r="132" spans="1:14" x14ac:dyDescent="0.2">
      <c r="A132" s="1">
        <f t="shared" si="32"/>
        <v>1997</v>
      </c>
      <c r="B132" s="41">
        <f t="shared" si="35"/>
        <v>0.87883988330187046</v>
      </c>
      <c r="C132" s="41">
        <f t="shared" si="35"/>
        <v>0.72216216216216222</v>
      </c>
      <c r="D132" s="41">
        <f t="shared" si="35"/>
        <v>0.74382802972673956</v>
      </c>
      <c r="E132" s="45"/>
      <c r="F132" s="41">
        <f t="shared" si="37"/>
        <v>0.45707334028501906</v>
      </c>
      <c r="G132" s="41"/>
      <c r="H132" s="45"/>
      <c r="I132" s="41">
        <f t="shared" si="34"/>
        <v>0.99001029729081913</v>
      </c>
      <c r="J132" s="41">
        <f t="shared" si="34"/>
        <v>0.63857566765578622</v>
      </c>
      <c r="K132" s="41">
        <f t="shared" si="34"/>
        <v>0.38423645320197042</v>
      </c>
      <c r="L132" s="45"/>
      <c r="M132" s="41">
        <f t="shared" si="36"/>
        <v>1.0916873555346289</v>
      </c>
      <c r="N132" s="41"/>
    </row>
    <row r="133" spans="1:14" x14ac:dyDescent="0.2">
      <c r="A133" s="1">
        <f t="shared" si="32"/>
        <v>1998</v>
      </c>
      <c r="B133" s="41">
        <f t="shared" si="35"/>
        <v>0.83095932726960697</v>
      </c>
      <c r="C133" s="41">
        <f t="shared" si="35"/>
        <v>0.53297297297297297</v>
      </c>
      <c r="D133" s="41">
        <f t="shared" si="35"/>
        <v>0.60788423217568277</v>
      </c>
      <c r="E133" s="45"/>
      <c r="F133" s="41">
        <f t="shared" si="37"/>
        <v>0.52415710809871385</v>
      </c>
      <c r="G133" s="41"/>
      <c r="H133" s="45"/>
      <c r="I133" s="41">
        <f t="shared" si="34"/>
        <v>0.70850220763905236</v>
      </c>
      <c r="J133" s="41">
        <f t="shared" si="34"/>
        <v>0.53175074183976256</v>
      </c>
      <c r="K133" s="41">
        <f t="shared" si="34"/>
        <v>0.78817733990147776</v>
      </c>
      <c r="L133" s="45"/>
      <c r="M133" s="41">
        <f t="shared" si="36"/>
        <v>0.86944610906600461</v>
      </c>
      <c r="N133" s="41"/>
    </row>
    <row r="134" spans="1:14" x14ac:dyDescent="0.2">
      <c r="A134" s="1">
        <f t="shared" si="32"/>
        <v>1999</v>
      </c>
      <c r="B134" s="41">
        <f t="shared" si="35"/>
        <v>0.81242491848292431</v>
      </c>
      <c r="C134" s="41">
        <f t="shared" si="35"/>
        <v>0.57405405405405407</v>
      </c>
      <c r="D134" s="41">
        <f>D33/AVERAGE(D$41:D$49)</f>
        <v>0.52424291981081506</v>
      </c>
      <c r="E134" s="41">
        <f>E33/AVERAGE(E$41:E$49)</f>
        <v>0.5901958316629381</v>
      </c>
      <c r="F134" s="41">
        <f t="shared" si="37"/>
        <v>0.47062912756343411</v>
      </c>
      <c r="G134" s="41"/>
      <c r="H134" s="45"/>
      <c r="I134" s="41">
        <f t="shared" ref="I134:L149" si="38">I33/AVERAGE(I$41:I$44)</f>
        <v>0.98744182197544261</v>
      </c>
      <c r="J134" s="41">
        <f t="shared" si="38"/>
        <v>0.77942631058358058</v>
      </c>
      <c r="K134" s="41">
        <f t="shared" si="38"/>
        <v>0.39901477832512317</v>
      </c>
      <c r="L134" s="45"/>
      <c r="M134" s="41">
        <f t="shared" si="36"/>
        <v>0.69857032788288664</v>
      </c>
      <c r="N134" s="41"/>
    </row>
    <row r="135" spans="1:14" x14ac:dyDescent="0.2">
      <c r="A135" s="1">
        <f t="shared" si="32"/>
        <v>2000</v>
      </c>
      <c r="B135" s="41">
        <f t="shared" si="35"/>
        <v>0.86030547451518791</v>
      </c>
      <c r="C135" s="41">
        <f t="shared" si="35"/>
        <v>0.87243243243243251</v>
      </c>
      <c r="D135" s="41">
        <f t="shared" si="35"/>
        <v>0.53428621018405376</v>
      </c>
      <c r="E135" s="41">
        <f t="shared" si="35"/>
        <v>0.72367863133453814</v>
      </c>
      <c r="F135" s="41">
        <f t="shared" si="37"/>
        <v>0.52902328814737576</v>
      </c>
      <c r="G135" s="41"/>
      <c r="H135" s="45"/>
      <c r="I135" s="41">
        <f t="shared" si="38"/>
        <v>1.502931381271952</v>
      </c>
      <c r="J135" s="41">
        <f t="shared" si="38"/>
        <v>0.61008902077151328</v>
      </c>
      <c r="K135" s="41">
        <f t="shared" si="38"/>
        <v>0.25615763546798026</v>
      </c>
      <c r="L135" s="41"/>
      <c r="M135" s="41">
        <f t="shared" si="36"/>
        <v>1.0537910567017663</v>
      </c>
      <c r="N135" s="41"/>
    </row>
    <row r="136" spans="1:14" x14ac:dyDescent="0.2">
      <c r="A136" s="1">
        <f t="shared" si="32"/>
        <v>2001</v>
      </c>
      <c r="B136" s="41">
        <f t="shared" si="35"/>
        <v>0.78307877123734337</v>
      </c>
      <c r="C136" s="41">
        <f t="shared" si="35"/>
        <v>0.72864864864864876</v>
      </c>
      <c r="D136" s="41">
        <f t="shared" si="35"/>
        <v>0.76489857181813814</v>
      </c>
      <c r="E136" s="41">
        <f t="shared" si="35"/>
        <v>0.85265952356886543</v>
      </c>
      <c r="F136" s="41">
        <f t="shared" si="37"/>
        <v>0.61181786583246434</v>
      </c>
      <c r="G136" s="41"/>
      <c r="H136" s="45"/>
      <c r="I136" s="41">
        <f t="shared" si="38"/>
        <v>1.5555050838591706</v>
      </c>
      <c r="J136" s="41">
        <f t="shared" si="38"/>
        <v>0.51355093966369925</v>
      </c>
      <c r="K136" s="41">
        <f t="shared" si="38"/>
        <v>0.88177339901477825</v>
      </c>
      <c r="L136" s="41">
        <f t="shared" si="38"/>
        <v>0.6095890410958904</v>
      </c>
      <c r="M136" s="41">
        <f t="shared" si="36"/>
        <v>1.3029706360756783</v>
      </c>
      <c r="N136" s="41"/>
    </row>
    <row r="137" spans="1:14" x14ac:dyDescent="0.2">
      <c r="A137" s="1">
        <f t="shared" si="32"/>
        <v>2002</v>
      </c>
      <c r="B137" s="41">
        <f t="shared" si="35"/>
        <v>0.8216921228762657</v>
      </c>
      <c r="C137" s="41">
        <f t="shared" si="35"/>
        <v>0.88108108108108107</v>
      </c>
      <c r="D137" s="41">
        <f t="shared" si="35"/>
        <v>0.77914684381994725</v>
      </c>
      <c r="E137" s="41">
        <f t="shared" si="35"/>
        <v>0.99548965456076688</v>
      </c>
      <c r="F137" s="41">
        <f t="shared" si="37"/>
        <v>0.8429614181438998</v>
      </c>
      <c r="G137" s="41"/>
      <c r="H137" s="45"/>
      <c r="I137" s="41">
        <f t="shared" si="38"/>
        <v>1.1565397668451807</v>
      </c>
      <c r="J137" s="41">
        <f t="shared" si="38"/>
        <v>0.41622156280909983</v>
      </c>
      <c r="K137" s="41">
        <f t="shared" si="38"/>
        <v>1.0344827586206895</v>
      </c>
      <c r="L137" s="41">
        <f t="shared" si="38"/>
        <v>0.9452054794520548</v>
      </c>
      <c r="M137" s="41">
        <f t="shared" si="36"/>
        <v>1.2134805810004849</v>
      </c>
      <c r="N137" s="41"/>
    </row>
    <row r="138" spans="1:14" x14ac:dyDescent="0.2">
      <c r="A138" s="1">
        <f t="shared" si="32"/>
        <v>2003</v>
      </c>
      <c r="B138" s="41">
        <f t="shared" ref="B138:E150" si="39">B37/AVERAGE(B$41:B$49)</f>
        <v>0.88501801956409798</v>
      </c>
      <c r="C138" s="41">
        <f t="shared" si="39"/>
        <v>0.73297297297297304</v>
      </c>
      <c r="D138" s="41">
        <f t="shared" si="39"/>
        <v>0.69812826930130845</v>
      </c>
      <c r="E138" s="41">
        <f t="shared" si="39"/>
        <v>1.1417307131960834</v>
      </c>
      <c r="F138" s="41">
        <f t="shared" si="37"/>
        <v>0.99520333680917616</v>
      </c>
      <c r="G138" s="41"/>
      <c r="H138" s="45"/>
      <c r="I138" s="41">
        <f t="shared" si="38"/>
        <v>1.2807633351372971</v>
      </c>
      <c r="J138" s="41">
        <f t="shared" si="38"/>
        <v>0.59188921859545007</v>
      </c>
      <c r="K138" s="41">
        <f t="shared" si="38"/>
        <v>1.211822660098522</v>
      </c>
      <c r="L138" s="41">
        <f t="shared" si="38"/>
        <v>1.1506849315068493</v>
      </c>
      <c r="M138" s="41">
        <f t="shared" si="36"/>
        <v>1.1922495220158091</v>
      </c>
      <c r="N138" s="41"/>
    </row>
    <row r="139" spans="1:14" x14ac:dyDescent="0.2">
      <c r="A139" s="1">
        <f t="shared" si="32"/>
        <v>2004</v>
      </c>
      <c r="B139" s="41">
        <f t="shared" si="39"/>
        <v>1.0441050283164579</v>
      </c>
      <c r="C139" s="41">
        <f t="shared" si="39"/>
        <v>1.0767567567567569</v>
      </c>
      <c r="D139" s="41">
        <f t="shared" si="39"/>
        <v>0.65308019677448981</v>
      </c>
      <c r="E139" s="41">
        <f t="shared" si="39"/>
        <v>0.91625110703892731</v>
      </c>
      <c r="F139" s="41">
        <f t="shared" si="37"/>
        <v>1.0256517205422315</v>
      </c>
      <c r="G139" s="41"/>
      <c r="H139" s="45"/>
      <c r="I139" s="41">
        <f t="shared" si="38"/>
        <v>1.1613808913442931</v>
      </c>
      <c r="J139" s="41">
        <f t="shared" si="38"/>
        <v>0.61088031651829866</v>
      </c>
      <c r="K139" s="41">
        <f t="shared" si="38"/>
        <v>1.3349753694581281</v>
      </c>
      <c r="L139" s="41">
        <f t="shared" si="38"/>
        <v>1.0753424657534247</v>
      </c>
      <c r="M139" s="41">
        <f t="shared" si="36"/>
        <v>1.1309534001084383</v>
      </c>
      <c r="N139" s="41"/>
    </row>
    <row r="140" spans="1:14" x14ac:dyDescent="0.2">
      <c r="A140" s="1">
        <f t="shared" si="32"/>
        <v>2005</v>
      </c>
      <c r="B140" s="41">
        <f t="shared" si="39"/>
        <v>1.0502831645786854</v>
      </c>
      <c r="C140" s="41">
        <f t="shared" si="39"/>
        <v>0.76864864864864868</v>
      </c>
      <c r="D140" s="41">
        <f t="shared" si="39"/>
        <v>0.63374608094792551</v>
      </c>
      <c r="E140" s="41">
        <f t="shared" si="39"/>
        <v>1.002977860657708</v>
      </c>
      <c r="F140" s="41">
        <f t="shared" si="37"/>
        <v>0.96190476190476182</v>
      </c>
      <c r="G140" s="41"/>
      <c r="H140" s="45"/>
      <c r="I140" s="41">
        <f t="shared" si="38"/>
        <v>0.99021640128247157</v>
      </c>
      <c r="J140" s="41">
        <f t="shared" si="38"/>
        <v>0.54282888229475756</v>
      </c>
      <c r="K140" s="41">
        <f t="shared" si="38"/>
        <v>0.80295566502463056</v>
      </c>
      <c r="L140" s="41">
        <f t="shared" si="38"/>
        <v>0.56164383561643838</v>
      </c>
      <c r="M140" s="41">
        <f t="shared" si="36"/>
        <v>1.240533059384185</v>
      </c>
      <c r="N140" s="41"/>
    </row>
    <row r="141" spans="1:14" x14ac:dyDescent="0.2">
      <c r="A141" s="1">
        <f t="shared" si="32"/>
        <v>2006</v>
      </c>
      <c r="B141" s="41">
        <f t="shared" si="39"/>
        <v>0.81705852067959495</v>
      </c>
      <c r="C141" s="41">
        <f t="shared" si="39"/>
        <v>0.83243243243243248</v>
      </c>
      <c r="D141" s="41">
        <f t="shared" si="39"/>
        <v>0.88184880327430037</v>
      </c>
      <c r="E141" s="41">
        <f t="shared" si="39"/>
        <v>1.7528047828749493</v>
      </c>
      <c r="F141" s="41">
        <f t="shared" si="37"/>
        <v>0.8929440389294403</v>
      </c>
      <c r="G141" s="41"/>
      <c r="H141" s="45"/>
      <c r="I141" s="41">
        <f t="shared" si="38"/>
        <v>1.0216103471718581</v>
      </c>
      <c r="J141" s="41">
        <f t="shared" si="38"/>
        <v>1.1853610286844707</v>
      </c>
      <c r="K141" s="41">
        <f t="shared" si="38"/>
        <v>0.7783251231527093</v>
      </c>
      <c r="L141" s="41">
        <f t="shared" si="38"/>
        <v>0.80821917808219179</v>
      </c>
      <c r="M141" s="41">
        <f t="shared" si="36"/>
        <v>1.035756071112633</v>
      </c>
      <c r="N141" s="41"/>
    </row>
    <row r="142" spans="1:14" x14ac:dyDescent="0.2">
      <c r="A142" s="1">
        <f t="shared" si="32"/>
        <v>2007</v>
      </c>
      <c r="B142" s="41">
        <f t="shared" si="39"/>
        <v>1.2402608546421829</v>
      </c>
      <c r="C142" s="41">
        <f t="shared" si="39"/>
        <v>0.94054054054054059</v>
      </c>
      <c r="D142" s="41">
        <f t="shared" si="39"/>
        <v>0.89962705085212991</v>
      </c>
      <c r="E142" s="41">
        <f t="shared" si="39"/>
        <v>1.547805284666768</v>
      </c>
      <c r="F142" s="41">
        <f t="shared" si="37"/>
        <v>1.1434132777198469</v>
      </c>
      <c r="G142" s="41">
        <f>G41/AVERAGE(G$41:G$49)</f>
        <v>0.19766355140186917</v>
      </c>
      <c r="H142" s="45"/>
      <c r="I142" s="41">
        <f t="shared" si="38"/>
        <v>0.69437735715901561</v>
      </c>
      <c r="J142" s="41">
        <f t="shared" si="38"/>
        <v>0.74381800197823933</v>
      </c>
      <c r="K142" s="41">
        <f t="shared" si="38"/>
        <v>0.98522167487684731</v>
      </c>
      <c r="L142" s="41">
        <f t="shared" si="38"/>
        <v>0.51369863013698636</v>
      </c>
      <c r="M142" s="41">
        <f t="shared" si="36"/>
        <v>0.96658391119481779</v>
      </c>
      <c r="N142" s="41">
        <f>N41/AVERAGE(N$41:N$44)</f>
        <v>0.89153551680136101</v>
      </c>
    </row>
    <row r="143" spans="1:14" x14ac:dyDescent="0.2">
      <c r="A143" s="1">
        <f t="shared" si="32"/>
        <v>2008</v>
      </c>
      <c r="B143" s="41">
        <f t="shared" si="39"/>
        <v>1.042560494250901</v>
      </c>
      <c r="C143" s="41">
        <f t="shared" si="39"/>
        <v>0.68972972972972979</v>
      </c>
      <c r="D143" s="41">
        <f t="shared" si="39"/>
        <v>1.3857567377751956</v>
      </c>
      <c r="E143" s="41">
        <f t="shared" si="39"/>
        <v>0.91077423335815055</v>
      </c>
      <c r="F143" s="41">
        <f t="shared" si="37"/>
        <v>1.2129301355578725</v>
      </c>
      <c r="G143" s="41">
        <f t="shared" ref="G143:G150" si="40">G42/AVERAGE(G$41:G$49)</f>
        <v>0.78644859813084111</v>
      </c>
      <c r="H143" s="45"/>
      <c r="I143" s="41">
        <f t="shared" si="38"/>
        <v>0.68053778519236974</v>
      </c>
      <c r="J143" s="41">
        <f t="shared" si="38"/>
        <v>0.92502472799208701</v>
      </c>
      <c r="K143" s="41">
        <f t="shared" si="38"/>
        <v>1.1182266009852215</v>
      </c>
      <c r="L143" s="41">
        <f t="shared" si="38"/>
        <v>0.90410958904109595</v>
      </c>
      <c r="M143" s="41">
        <f t="shared" si="36"/>
        <v>0.85357988756670378</v>
      </c>
      <c r="N143" s="41">
        <f t="shared" ref="N143:N149" si="41">N42/AVERAGE(N$41:N$44)</f>
        <v>1.1331348362398979</v>
      </c>
    </row>
    <row r="144" spans="1:14" x14ac:dyDescent="0.2">
      <c r="A144" s="1">
        <f t="shared" si="32"/>
        <v>2009</v>
      </c>
      <c r="B144" s="41">
        <f t="shared" si="39"/>
        <v>1.3313883645100393</v>
      </c>
      <c r="C144" s="41">
        <f t="shared" si="39"/>
        <v>1.4594594594594597</v>
      </c>
      <c r="D144" s="41">
        <f t="shared" si="39"/>
        <v>1.3298928467094677</v>
      </c>
      <c r="E144" s="41">
        <f t="shared" si="39"/>
        <v>1.4618424754297052</v>
      </c>
      <c r="F144" s="41">
        <f t="shared" si="37"/>
        <v>1.1701077511296489</v>
      </c>
      <c r="G144" s="41">
        <f t="shared" si="40"/>
        <v>2.802336448598131</v>
      </c>
      <c r="H144" s="45"/>
      <c r="I144" s="41">
        <f t="shared" si="38"/>
        <v>1.0626231832776774</v>
      </c>
      <c r="J144" s="41">
        <f t="shared" si="38"/>
        <v>1.1679525222551927</v>
      </c>
      <c r="K144" s="41">
        <f t="shared" si="38"/>
        <v>0.94088669950738912</v>
      </c>
      <c r="L144" s="41">
        <f t="shared" si="38"/>
        <v>0.79452054794520544</v>
      </c>
      <c r="M144" s="41">
        <f t="shared" si="36"/>
        <v>1.0297063607567845</v>
      </c>
      <c r="N144" s="41">
        <f t="shared" si="41"/>
        <v>0.85920884729902158</v>
      </c>
    </row>
    <row r="145" spans="1:14" x14ac:dyDescent="0.2">
      <c r="A145" s="56">
        <f t="shared" si="32"/>
        <v>2010</v>
      </c>
      <c r="B145" s="41">
        <f t="shared" si="39"/>
        <v>1.1645786854298952</v>
      </c>
      <c r="C145" s="41">
        <f t="shared" si="39"/>
        <v>0.95459459459459473</v>
      </c>
      <c r="D145" s="41">
        <f t="shared" si="39"/>
        <v>1.4350514427942906</v>
      </c>
      <c r="E145" s="41">
        <f t="shared" si="39"/>
        <v>1.195539995321397</v>
      </c>
      <c r="F145" s="41">
        <f t="shared" si="37"/>
        <v>1.0849496002780674</v>
      </c>
      <c r="G145" s="41">
        <f>G44/AVERAGE(G$41:G$49)</f>
        <v>0.39813084112149538</v>
      </c>
      <c r="H145" s="51"/>
      <c r="I145" s="41">
        <f t="shared" si="38"/>
        <v>1.5624616743709374</v>
      </c>
      <c r="J145" s="41">
        <f t="shared" si="38"/>
        <v>1.1632047477744805</v>
      </c>
      <c r="K145" s="41">
        <f t="shared" si="38"/>
        <v>0.95566502463054182</v>
      </c>
      <c r="L145" s="41">
        <f t="shared" si="38"/>
        <v>1.7876712328767124</v>
      </c>
      <c r="M145" s="41">
        <f t="shared" si="36"/>
        <v>1.150129840481694</v>
      </c>
      <c r="N145" s="41">
        <f t="shared" si="41"/>
        <v>1.1161207996597191</v>
      </c>
    </row>
    <row r="146" spans="1:14" x14ac:dyDescent="0.2">
      <c r="A146" s="1">
        <f t="shared" si="32"/>
        <v>2011</v>
      </c>
      <c r="B146" s="41">
        <f t="shared" si="39"/>
        <v>1.0873519821520508</v>
      </c>
      <c r="C146" s="41">
        <f t="shared" si="39"/>
        <v>1.3632432432432433</v>
      </c>
      <c r="D146" s="41">
        <f t="shared" si="39"/>
        <v>0.9313148482062007</v>
      </c>
      <c r="E146" s="41">
        <f t="shared" si="39"/>
        <v>0.77551018942596273</v>
      </c>
      <c r="F146" s="41">
        <f t="shared" si="37"/>
        <v>0.88793882516510259</v>
      </c>
      <c r="G146" s="41">
        <f t="shared" si="40"/>
        <v>1.4425233644859814</v>
      </c>
      <c r="J146" s="41">
        <f t="shared" si="38"/>
        <v>2.4941641938674577</v>
      </c>
      <c r="K146" s="41">
        <f t="shared" si="38"/>
        <v>1.940886699507389</v>
      </c>
      <c r="L146" s="41">
        <f t="shared" si="38"/>
        <v>0.81506849315068497</v>
      </c>
      <c r="M146" s="41">
        <f t="shared" si="36"/>
        <v>1.5298918471592045</v>
      </c>
      <c r="N146" s="41">
        <f t="shared" si="41"/>
        <v>1.2216078264568269</v>
      </c>
    </row>
    <row r="147" spans="1:14" x14ac:dyDescent="0.2">
      <c r="A147" s="56">
        <f t="shared" si="32"/>
        <v>2012</v>
      </c>
      <c r="B147" s="41">
        <f t="shared" si="39"/>
        <v>0.79234597563068465</v>
      </c>
      <c r="C147" s="41">
        <f t="shared" si="39"/>
        <v>1.1945945945945946</v>
      </c>
      <c r="D147" s="41">
        <f t="shared" si="39"/>
        <v>0.75540768876813302</v>
      </c>
      <c r="E147" s="41">
        <f t="shared" si="39"/>
        <v>0.93438767663924793</v>
      </c>
      <c r="F147" s="41">
        <f t="shared" si="37"/>
        <v>1.065067778936392</v>
      </c>
      <c r="G147" s="41">
        <f t="shared" si="40"/>
        <v>1.2266355140186915</v>
      </c>
      <c r="J147" s="41">
        <f t="shared" si="38"/>
        <v>1.8856577645895152</v>
      </c>
      <c r="K147" s="41">
        <f t="shared" si="38"/>
        <v>1.0985221674876846</v>
      </c>
      <c r="L147" s="41">
        <f t="shared" si="38"/>
        <v>1.1849315068493151</v>
      </c>
      <c r="M147" s="41">
        <f t="shared" si="36"/>
        <v>1.4271609165881916</v>
      </c>
      <c r="N147" s="41">
        <f t="shared" si="41"/>
        <v>1.156954487452148</v>
      </c>
    </row>
    <row r="148" spans="1:14" x14ac:dyDescent="0.2">
      <c r="A148" s="1">
        <f t="shared" si="32"/>
        <v>2013</v>
      </c>
      <c r="B148" s="41">
        <f t="shared" si="39"/>
        <v>0.83868199759739148</v>
      </c>
      <c r="C148" s="41">
        <f t="shared" si="39"/>
        <v>0.84000000000000008</v>
      </c>
      <c r="D148" s="41">
        <f t="shared" si="39"/>
        <v>0.55483178850653558</v>
      </c>
      <c r="E148" s="41">
        <f t="shared" si="39"/>
        <v>0.91848024762483693</v>
      </c>
      <c r="F148" s="41">
        <f t="shared" si="37"/>
        <v>0.80437956204379557</v>
      </c>
      <c r="G148" s="41">
        <f t="shared" si="40"/>
        <v>0.45841121495327103</v>
      </c>
      <c r="J148" s="41">
        <f t="shared" si="38"/>
        <v>0.97091988130563789</v>
      </c>
      <c r="L148" s="41"/>
      <c r="M148" s="41">
        <f t="shared" si="36"/>
        <v>1.5255543189795393</v>
      </c>
      <c r="N148" s="41">
        <f t="shared" si="41"/>
        <v>0.95959166312207556</v>
      </c>
    </row>
    <row r="149" spans="1:14" x14ac:dyDescent="0.2">
      <c r="A149" s="56">
        <f t="shared" si="32"/>
        <v>2014</v>
      </c>
      <c r="B149" s="41">
        <f t="shared" si="39"/>
        <v>0.75527715805731932</v>
      </c>
      <c r="C149" s="41">
        <f t="shared" si="39"/>
        <v>0.87675675675675691</v>
      </c>
      <c r="D149" s="41">
        <f t="shared" si="39"/>
        <v>1.1036112354058265</v>
      </c>
      <c r="E149" s="41">
        <f t="shared" si="39"/>
        <v>0.91067890188919676</v>
      </c>
      <c r="F149" s="41">
        <f t="shared" si="37"/>
        <v>0.76176572818908583</v>
      </c>
      <c r="G149" s="41">
        <f t="shared" si="40"/>
        <v>1.2967289719626169</v>
      </c>
      <c r="J149" s="41">
        <f t="shared" si="38"/>
        <v>2.1681503461918892</v>
      </c>
      <c r="L149" s="41"/>
      <c r="M149" s="41">
        <f t="shared" si="36"/>
        <v>1.5043232599948635</v>
      </c>
      <c r="N149" s="41">
        <f t="shared" si="41"/>
        <v>1.3526159081242024</v>
      </c>
    </row>
    <row r="150" spans="1:14" x14ac:dyDescent="0.2">
      <c r="A150" s="1">
        <f t="shared" si="32"/>
        <v>2015</v>
      </c>
      <c r="B150" s="41">
        <f>B49/AVERAGE(B$41:B$49)</f>
        <v>0.74755448772953481</v>
      </c>
      <c r="C150" s="41">
        <f t="shared" si="39"/>
        <v>0.68108108108108112</v>
      </c>
      <c r="D150" s="41">
        <f t="shared" si="39"/>
        <v>0.60450636098222055</v>
      </c>
      <c r="E150" s="41">
        <f t="shared" si="39"/>
        <v>0.34498099564473422</v>
      </c>
      <c r="F150" s="41">
        <f t="shared" si="37"/>
        <v>0.86944734098018761</v>
      </c>
      <c r="G150" s="41">
        <f t="shared" si="40"/>
        <v>0.39112149532710283</v>
      </c>
      <c r="M150" s="41">
        <f t="shared" si="36"/>
        <v>1.355934138058956</v>
      </c>
    </row>
  </sheetData>
  <mergeCells count="4">
    <mergeCell ref="BA22:BB22"/>
    <mergeCell ref="BC22:BD22"/>
    <mergeCell ref="BG22:BH22"/>
    <mergeCell ref="BI22:BJ22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6" sqref="C6"/>
    </sheetView>
  </sheetViews>
  <sheetFormatPr defaultRowHeight="15" x14ac:dyDescent="0.25"/>
  <cols>
    <col min="1" max="1" width="24.7109375" style="57" customWidth="1"/>
    <col min="2" max="2" width="28" style="57" customWidth="1"/>
    <col min="3" max="3" width="24.5703125" style="57" customWidth="1"/>
    <col min="4" max="4" width="28.42578125" style="57" customWidth="1"/>
    <col min="5" max="16384" width="9.140625" style="57"/>
  </cols>
  <sheetData>
    <row r="1" spans="1:13" ht="15.75" thickBot="1" x14ac:dyDescent="0.3">
      <c r="B1" s="103" t="s">
        <v>18</v>
      </c>
      <c r="C1" s="103" t="s">
        <v>19</v>
      </c>
      <c r="D1" s="103" t="s">
        <v>60</v>
      </c>
    </row>
    <row r="2" spans="1:13" ht="15.75" thickTop="1" x14ac:dyDescent="0.25">
      <c r="A2" s="104" t="s">
        <v>61</v>
      </c>
      <c r="B2" s="105"/>
      <c r="C2" s="106"/>
    </row>
    <row r="3" spans="1:13" ht="21" x14ac:dyDescent="0.35">
      <c r="A3" s="107" t="s">
        <v>62</v>
      </c>
      <c r="B3" s="108"/>
      <c r="C3" s="106">
        <v>180</v>
      </c>
      <c r="D3" s="109" t="s">
        <v>63</v>
      </c>
      <c r="I3" s="141" t="s">
        <v>141</v>
      </c>
      <c r="J3" s="142"/>
      <c r="K3" s="142"/>
      <c r="L3" s="142"/>
      <c r="M3" s="142"/>
    </row>
    <row r="4" spans="1:13" ht="18" x14ac:dyDescent="0.35">
      <c r="A4" s="107" t="s">
        <v>64</v>
      </c>
      <c r="B4" s="106" t="s">
        <v>65</v>
      </c>
      <c r="C4" s="106">
        <v>166</v>
      </c>
      <c r="D4" s="109" t="s">
        <v>66</v>
      </c>
    </row>
    <row r="5" spans="1:13" ht="18" x14ac:dyDescent="0.35">
      <c r="A5" s="107" t="s">
        <v>67</v>
      </c>
      <c r="B5" s="108">
        <v>8</v>
      </c>
      <c r="C5" s="197" t="s">
        <v>209</v>
      </c>
      <c r="D5" s="125" t="s">
        <v>208</v>
      </c>
    </row>
    <row r="6" spans="1:13" ht="18" x14ac:dyDescent="0.35">
      <c r="A6" s="107" t="s">
        <v>68</v>
      </c>
      <c r="B6" s="108">
        <v>8</v>
      </c>
      <c r="C6" s="106"/>
      <c r="D6" s="109" t="s">
        <v>69</v>
      </c>
    </row>
    <row r="7" spans="1:13" ht="18" x14ac:dyDescent="0.35">
      <c r="A7" s="107" t="s">
        <v>70</v>
      </c>
      <c r="B7" s="108"/>
      <c r="C7" s="106"/>
      <c r="D7" s="109"/>
    </row>
    <row r="8" spans="1:13" ht="18" x14ac:dyDescent="0.35">
      <c r="A8" s="107" t="s">
        <v>71</v>
      </c>
      <c r="B8" s="108" t="s">
        <v>72</v>
      </c>
      <c r="C8" s="71"/>
      <c r="D8" s="109" t="s">
        <v>73</v>
      </c>
    </row>
    <row r="9" spans="1:13" ht="18" x14ac:dyDescent="0.35">
      <c r="A9" s="107" t="s">
        <v>74</v>
      </c>
      <c r="B9" s="108">
        <v>18</v>
      </c>
      <c r="C9" s="203" t="s">
        <v>207</v>
      </c>
      <c r="D9" s="125" t="s">
        <v>208</v>
      </c>
    </row>
    <row r="10" spans="1:13" ht="18" x14ac:dyDescent="0.35">
      <c r="A10" s="107" t="s">
        <v>75</v>
      </c>
      <c r="B10" s="108">
        <v>18</v>
      </c>
      <c r="C10" s="106"/>
      <c r="D10" s="109" t="s">
        <v>69</v>
      </c>
    </row>
    <row r="11" spans="1:13" x14ac:dyDescent="0.25">
      <c r="A11" s="107" t="s">
        <v>76</v>
      </c>
      <c r="B11" s="110" t="s">
        <v>77</v>
      </c>
      <c r="C11" s="106"/>
      <c r="D11" s="109" t="s">
        <v>78</v>
      </c>
    </row>
    <row r="12" spans="1:13" x14ac:dyDescent="0.25">
      <c r="A12" s="107" t="s">
        <v>79</v>
      </c>
      <c r="B12" s="108">
        <v>3</v>
      </c>
      <c r="C12" s="106"/>
      <c r="D12" s="109" t="s">
        <v>78</v>
      </c>
    </row>
    <row r="13" spans="1:13" x14ac:dyDescent="0.25">
      <c r="A13" s="107" t="s">
        <v>80</v>
      </c>
      <c r="B13" s="198" t="s">
        <v>81</v>
      </c>
      <c r="C13" s="111"/>
      <c r="D13" s="109" t="s">
        <v>78</v>
      </c>
    </row>
    <row r="14" spans="1:13" ht="18" x14ac:dyDescent="0.35">
      <c r="A14" s="107" t="s">
        <v>82</v>
      </c>
      <c r="B14" s="106" t="s">
        <v>83</v>
      </c>
      <c r="C14" s="112" t="s">
        <v>84</v>
      </c>
      <c r="D14" s="109" t="s">
        <v>85</v>
      </c>
    </row>
    <row r="15" spans="1:13" x14ac:dyDescent="0.25">
      <c r="A15" s="107" t="s">
        <v>86</v>
      </c>
      <c r="B15" s="108">
        <v>12.5</v>
      </c>
      <c r="C15" s="106"/>
      <c r="D15" s="109" t="s">
        <v>87</v>
      </c>
    </row>
    <row r="16" spans="1:13" x14ac:dyDescent="0.25">
      <c r="A16" s="107" t="s">
        <v>88</v>
      </c>
      <c r="B16" s="108">
        <v>2</v>
      </c>
      <c r="C16" s="106"/>
      <c r="D16" s="109" t="s">
        <v>87</v>
      </c>
    </row>
    <row r="17" spans="1:7" x14ac:dyDescent="0.25">
      <c r="A17" s="107" t="s">
        <v>89</v>
      </c>
      <c r="B17" s="108">
        <v>30</v>
      </c>
      <c r="C17" s="113"/>
      <c r="D17" s="109" t="s">
        <v>87</v>
      </c>
    </row>
    <row r="18" spans="1:7" x14ac:dyDescent="0.25">
      <c r="A18" s="107" t="s">
        <v>90</v>
      </c>
      <c r="B18" s="108" t="s">
        <v>91</v>
      </c>
      <c r="C18" s="113"/>
      <c r="D18" s="109" t="s">
        <v>87</v>
      </c>
    </row>
    <row r="19" spans="1:7" x14ac:dyDescent="0.25">
      <c r="A19" s="107" t="s">
        <v>92</v>
      </c>
      <c r="B19" s="199" t="s">
        <v>140</v>
      </c>
      <c r="C19" s="114" t="s">
        <v>93</v>
      </c>
      <c r="D19" s="115" t="s">
        <v>94</v>
      </c>
    </row>
    <row r="20" spans="1:7" x14ac:dyDescent="0.25">
      <c r="A20" s="116" t="s">
        <v>95</v>
      </c>
      <c r="B20" s="108"/>
      <c r="C20" s="106"/>
      <c r="D20" s="109"/>
    </row>
    <row r="21" spans="1:7" ht="18" x14ac:dyDescent="0.35">
      <c r="A21" s="107" t="s">
        <v>96</v>
      </c>
      <c r="B21" s="200" t="s">
        <v>124</v>
      </c>
      <c r="C21" s="196" t="s">
        <v>206</v>
      </c>
      <c r="D21" s="125" t="s">
        <v>97</v>
      </c>
    </row>
    <row r="22" spans="1:7" x14ac:dyDescent="0.25">
      <c r="A22" s="107" t="s">
        <v>98</v>
      </c>
      <c r="B22" s="200" t="s">
        <v>125</v>
      </c>
      <c r="C22" s="117">
        <v>0.04</v>
      </c>
      <c r="D22" s="109" t="s">
        <v>99</v>
      </c>
    </row>
    <row r="23" spans="1:7" ht="18" x14ac:dyDescent="0.35">
      <c r="A23" s="107" t="s">
        <v>100</v>
      </c>
      <c r="B23" s="200" t="s">
        <v>126</v>
      </c>
      <c r="C23" s="106">
        <v>-7.08</v>
      </c>
      <c r="D23" s="109" t="s">
        <v>99</v>
      </c>
    </row>
    <row r="24" spans="1:7" ht="18" x14ac:dyDescent="0.35">
      <c r="A24" s="107" t="s">
        <v>101</v>
      </c>
      <c r="B24" s="108">
        <v>32</v>
      </c>
      <c r="C24" s="111" t="s">
        <v>102</v>
      </c>
      <c r="D24" s="125" t="s">
        <v>103</v>
      </c>
    </row>
    <row r="25" spans="1:7" ht="18" x14ac:dyDescent="0.35">
      <c r="A25" s="107" t="s">
        <v>104</v>
      </c>
      <c r="B25" s="108" t="s">
        <v>105</v>
      </c>
      <c r="C25" s="117" t="s">
        <v>106</v>
      </c>
      <c r="D25" s="109" t="s">
        <v>97</v>
      </c>
    </row>
    <row r="26" spans="1:7" x14ac:dyDescent="0.25">
      <c r="A26" s="107" t="s">
        <v>107</v>
      </c>
      <c r="B26" s="108">
        <v>0.125</v>
      </c>
      <c r="C26" s="117">
        <v>0.08</v>
      </c>
      <c r="D26" s="109" t="s">
        <v>108</v>
      </c>
    </row>
    <row r="27" spans="1:7" ht="18" x14ac:dyDescent="0.35">
      <c r="A27" s="107" t="s">
        <v>109</v>
      </c>
      <c r="B27" s="108">
        <v>71.599999999999994</v>
      </c>
      <c r="C27" s="118">
        <f ca="1">'Biology table'!$C$27-4.47</f>
        <v>-4.47</v>
      </c>
      <c r="D27" s="109" t="s">
        <v>99</v>
      </c>
    </row>
    <row r="28" spans="1:7" ht="18" x14ac:dyDescent="0.35">
      <c r="A28" s="107" t="s">
        <v>110</v>
      </c>
      <c r="B28" s="201">
        <v>29</v>
      </c>
      <c r="C28" s="195" t="s">
        <v>205</v>
      </c>
      <c r="D28" s="109" t="s">
        <v>97</v>
      </c>
    </row>
    <row r="29" spans="1:7" x14ac:dyDescent="0.25">
      <c r="A29" s="116" t="s">
        <v>111</v>
      </c>
      <c r="B29" s="108"/>
      <c r="C29" s="106"/>
      <c r="D29" s="109"/>
    </row>
    <row r="30" spans="1:7" x14ac:dyDescent="0.25">
      <c r="A30" s="67" t="s">
        <v>112</v>
      </c>
      <c r="B30" s="119" t="s">
        <v>113</v>
      </c>
      <c r="C30" s="119" t="s">
        <v>114</v>
      </c>
      <c r="D30" s="109" t="s">
        <v>115</v>
      </c>
    </row>
    <row r="31" spans="1:7" x14ac:dyDescent="0.25">
      <c r="A31" s="216" t="s">
        <v>116</v>
      </c>
      <c r="B31" s="202" t="s">
        <v>117</v>
      </c>
      <c r="C31" s="67" t="s">
        <v>118</v>
      </c>
      <c r="D31" s="120" t="s">
        <v>119</v>
      </c>
      <c r="E31" s="67"/>
      <c r="F31" s="67"/>
      <c r="G31" s="67"/>
    </row>
    <row r="32" spans="1:7" x14ac:dyDescent="0.25">
      <c r="A32" s="217"/>
      <c r="B32" s="122"/>
      <c r="C32" s="74" t="s">
        <v>120</v>
      </c>
      <c r="D32" s="115" t="s">
        <v>63</v>
      </c>
      <c r="E32" s="74"/>
      <c r="F32" s="74"/>
      <c r="G32" s="74"/>
    </row>
    <row r="34" spans="1:1" x14ac:dyDescent="0.25">
      <c r="A34" s="125" t="s">
        <v>127</v>
      </c>
    </row>
  </sheetData>
  <mergeCells count="1">
    <mergeCell ref="A31:A3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Y73"/>
  <sheetViews>
    <sheetView topLeftCell="A22" workbookViewId="0">
      <selection activeCell="AH53" sqref="AH53"/>
    </sheetView>
  </sheetViews>
  <sheetFormatPr defaultRowHeight="12.75" x14ac:dyDescent="0.2"/>
  <cols>
    <col min="1" max="1" width="6.5703125" style="143" customWidth="1"/>
    <col min="2" max="2" width="12.140625" style="143" customWidth="1"/>
    <col min="3" max="3" width="13.5703125" style="143" customWidth="1"/>
    <col min="4" max="4" width="9.5703125" style="143" customWidth="1"/>
    <col min="5" max="5" width="12.7109375" style="143" customWidth="1"/>
    <col min="6" max="10" width="9.140625" style="143"/>
    <col min="11" max="11" width="11.7109375" style="143" customWidth="1"/>
    <col min="12" max="15" width="9.140625" style="143"/>
    <col min="16" max="16" width="10" style="143" customWidth="1"/>
    <col min="17" max="18" width="9.140625" style="143"/>
    <col min="19" max="19" width="5.85546875" style="209" customWidth="1"/>
    <col min="20" max="20" width="13.28515625" style="143" customWidth="1"/>
    <col min="21" max="21" width="16" style="143" customWidth="1"/>
    <col min="22" max="22" width="9.140625" style="143"/>
    <col min="23" max="23" width="10.42578125" style="143" customWidth="1"/>
    <col min="24" max="16384" width="9.140625" style="143"/>
  </cols>
  <sheetData>
    <row r="1" spans="2:51" x14ac:dyDescent="0.2">
      <c r="J1" s="144"/>
      <c r="K1" s="144"/>
      <c r="L1" s="144"/>
      <c r="M1" s="144"/>
      <c r="N1" s="144"/>
      <c r="P1" s="144"/>
      <c r="Q1" s="144"/>
      <c r="R1" s="144"/>
      <c r="S1" s="208"/>
      <c r="T1" s="144"/>
      <c r="U1" s="144"/>
      <c r="W1" s="144"/>
      <c r="Y1" s="144"/>
      <c r="AA1" s="144"/>
      <c r="AC1" s="144"/>
      <c r="AE1" s="144"/>
      <c r="AG1" s="144"/>
      <c r="AI1" s="144"/>
      <c r="AK1" s="144"/>
      <c r="AM1" s="144"/>
      <c r="AO1" s="144"/>
      <c r="AQ1" s="144"/>
      <c r="AS1" s="144"/>
      <c r="AU1" s="144"/>
      <c r="AW1" s="144"/>
      <c r="AY1" s="144"/>
    </row>
    <row r="2" spans="2:51" ht="15" x14ac:dyDescent="0.2">
      <c r="H2" s="174" t="s">
        <v>49</v>
      </c>
      <c r="I2" s="174"/>
      <c r="J2" s="144"/>
      <c r="K2" s="144"/>
      <c r="L2" s="144"/>
      <c r="M2" s="144"/>
      <c r="N2" s="144"/>
      <c r="P2" s="144"/>
      <c r="Q2" s="144"/>
      <c r="R2" s="144"/>
      <c r="S2" s="208"/>
      <c r="T2" s="144"/>
      <c r="U2" s="144"/>
      <c r="W2" s="144"/>
      <c r="Y2" s="174" t="s">
        <v>55</v>
      </c>
      <c r="Z2" s="174"/>
      <c r="AA2" s="144"/>
      <c r="AC2" s="144"/>
      <c r="AE2" s="144"/>
      <c r="AG2" s="144"/>
      <c r="AI2" s="144"/>
      <c r="AK2" s="144"/>
      <c r="AM2" s="144"/>
      <c r="AO2" s="144"/>
      <c r="AQ2" s="144"/>
      <c r="AS2" s="144"/>
      <c r="AU2" s="144"/>
      <c r="AW2" s="144"/>
      <c r="AY2" s="144"/>
    </row>
    <row r="3" spans="2:51" x14ac:dyDescent="0.2">
      <c r="J3" s="144"/>
      <c r="K3" s="144"/>
      <c r="L3" s="144"/>
      <c r="M3" s="144"/>
      <c r="N3" s="144"/>
      <c r="P3" s="144"/>
      <c r="Q3" s="144"/>
      <c r="R3" s="144"/>
      <c r="S3" s="208"/>
      <c r="T3" s="144"/>
      <c r="U3" s="144"/>
      <c r="W3" s="144"/>
      <c r="Y3" s="144"/>
      <c r="AA3" s="144"/>
      <c r="AC3" s="144"/>
      <c r="AE3" s="144"/>
      <c r="AG3" s="144"/>
      <c r="AI3" s="144"/>
      <c r="AK3" s="144"/>
      <c r="AM3" s="144"/>
      <c r="AO3" s="144"/>
      <c r="AQ3" s="144"/>
      <c r="AS3" s="144"/>
      <c r="AU3" s="144"/>
      <c r="AW3" s="144"/>
      <c r="AY3" s="144"/>
    </row>
    <row r="4" spans="2:51" x14ac:dyDescent="0.2">
      <c r="B4" s="145"/>
      <c r="C4" s="146"/>
      <c r="D4" s="144" t="s">
        <v>142</v>
      </c>
      <c r="K4" s="145"/>
      <c r="L4" s="146"/>
      <c r="M4" s="144" t="s">
        <v>143</v>
      </c>
      <c r="P4" s="144"/>
      <c r="Q4" s="144"/>
      <c r="R4" s="144"/>
      <c r="S4" s="208"/>
      <c r="T4" s="145"/>
      <c r="U4" s="146"/>
      <c r="V4" s="144" t="s">
        <v>142</v>
      </c>
      <c r="AC4" s="145"/>
      <c r="AD4" s="146"/>
      <c r="AE4" s="144" t="s">
        <v>143</v>
      </c>
    </row>
    <row r="5" spans="2:51" x14ac:dyDescent="0.2">
      <c r="C5" s="147"/>
      <c r="D5" s="148" t="s">
        <v>144</v>
      </c>
      <c r="E5" s="148" t="s">
        <v>145</v>
      </c>
      <c r="F5" s="148"/>
      <c r="L5" s="147"/>
      <c r="M5" s="148" t="s">
        <v>144</v>
      </c>
      <c r="N5" s="148"/>
      <c r="P5" s="144"/>
      <c r="Q5" s="144"/>
      <c r="R5" s="144"/>
      <c r="S5" s="208"/>
      <c r="U5" s="147"/>
      <c r="V5" s="148" t="s">
        <v>144</v>
      </c>
      <c r="W5" s="148" t="s">
        <v>145</v>
      </c>
      <c r="X5" s="148"/>
      <c r="AD5" s="147"/>
      <c r="AE5" s="148" t="s">
        <v>144</v>
      </c>
      <c r="AF5" s="148"/>
    </row>
    <row r="6" spans="2:51" x14ac:dyDescent="0.2">
      <c r="B6" s="149" t="s">
        <v>146</v>
      </c>
      <c r="C6" s="149" t="s">
        <v>147</v>
      </c>
      <c r="D6" s="149" t="s">
        <v>148</v>
      </c>
      <c r="E6" s="150" t="s">
        <v>149</v>
      </c>
      <c r="F6" s="150" t="s">
        <v>179</v>
      </c>
      <c r="K6" s="149" t="s">
        <v>146</v>
      </c>
      <c r="L6" s="149" t="s">
        <v>147</v>
      </c>
      <c r="M6" s="149" t="s">
        <v>148</v>
      </c>
      <c r="N6" s="150" t="s">
        <v>179</v>
      </c>
      <c r="P6" s="144"/>
      <c r="Q6" s="144"/>
      <c r="R6" s="144"/>
      <c r="S6" s="208"/>
      <c r="T6" s="149" t="s">
        <v>146</v>
      </c>
      <c r="U6" s="149" t="s">
        <v>147</v>
      </c>
      <c r="V6" s="149" t="s">
        <v>148</v>
      </c>
      <c r="W6" s="150" t="s">
        <v>149</v>
      </c>
      <c r="X6" s="150" t="s">
        <v>179</v>
      </c>
      <c r="AC6" s="149" t="s">
        <v>146</v>
      </c>
      <c r="AD6" s="149" t="s">
        <v>147</v>
      </c>
      <c r="AE6" s="149" t="s">
        <v>148</v>
      </c>
      <c r="AF6" s="150" t="s">
        <v>179</v>
      </c>
    </row>
    <row r="7" spans="2:51" x14ac:dyDescent="0.2">
      <c r="B7" s="151"/>
      <c r="C7" s="151"/>
      <c r="D7" s="151" t="s">
        <v>149</v>
      </c>
      <c r="E7" s="152"/>
      <c r="F7" s="152" t="s">
        <v>180</v>
      </c>
      <c r="K7" s="151"/>
      <c r="L7" s="151"/>
      <c r="M7" s="151" t="s">
        <v>149</v>
      </c>
      <c r="N7" s="152" t="s">
        <v>180</v>
      </c>
      <c r="P7" s="144"/>
      <c r="Q7" s="144"/>
      <c r="R7" s="144"/>
      <c r="S7" s="208"/>
      <c r="T7" s="151"/>
      <c r="U7" s="151"/>
      <c r="V7" s="151" t="s">
        <v>149</v>
      </c>
      <c r="W7" s="152"/>
      <c r="X7" s="152" t="s">
        <v>180</v>
      </c>
      <c r="AC7" s="151"/>
      <c r="AD7" s="151"/>
      <c r="AE7" s="151" t="s">
        <v>149</v>
      </c>
      <c r="AF7" s="152" t="s">
        <v>180</v>
      </c>
    </row>
    <row r="8" spans="2:51" x14ac:dyDescent="0.2">
      <c r="B8" s="176">
        <f>IF($G$50=1,$D$52-($D$52-$D$54)*EXP(-$D$53*C8),IF($G$50=2,$D$58*EXP((LN($D$56/$D$58))*(1-EXP(-$D$57*C8))),IF($G$50=3,$D$60-($D$60-$D$62)*EXP(-$D$61*C8))))</f>
        <v>63</v>
      </c>
      <c r="C8" s="154">
        <v>0</v>
      </c>
      <c r="D8" s="179">
        <f>1/(1+EXP(-($D$67+$D$68*(((B8+$D$70)/$D$69)/100))))</f>
        <v>5.578479962127918E-10</v>
      </c>
      <c r="E8" s="165">
        <f>$D$65*(((B8+$D$70)/$D$69)/100)^$D$66</f>
        <v>0.34713580880710776</v>
      </c>
      <c r="F8" s="179">
        <f>($D$71)*(B8)^$D$72</f>
        <v>2.3484714651729299</v>
      </c>
      <c r="K8" s="176">
        <f t="shared" ref="K8:K37" si="0">IF($O$50=1,$M$52-($M$52-$M$54)*EXP(-$M$53*L8),IF($O$50=2,$M$60-($M$60-$M$62)*EXP(-$M$61*L8)))</f>
        <v>63</v>
      </c>
      <c r="L8" s="154">
        <v>0</v>
      </c>
      <c r="M8" s="179">
        <f>1/(1+EXP(-($M$67+$M$68*(((K8+$M$70)/$M$69)/100))))</f>
        <v>5.578479962127918E-10</v>
      </c>
      <c r="N8" s="179">
        <f>($M$71)*(K8)^$M$72</f>
        <v>2.3484714651729299</v>
      </c>
      <c r="P8" s="144"/>
      <c r="Q8" s="144"/>
      <c r="R8" s="144"/>
      <c r="S8" s="208"/>
      <c r="T8" s="176">
        <f>IF($Y$50=1,$V$52*(1-EXP(-$V$53*(U8-$V$54))),IF($Y$50=2,$V$56*(1-EXP(-$V$57*(U8-$V$58)))))</f>
        <v>100.54155311326349</v>
      </c>
      <c r="U8" s="154">
        <v>0</v>
      </c>
      <c r="V8" s="179">
        <f>1/(1+EXP(-($V$67+$V$68*(((T8+$V$70)/$V$69)/100))))</f>
        <v>3.1073454096297675E-16</v>
      </c>
      <c r="W8" s="165">
        <f>$V$65*(((T8+$V$70)/$V$69)/100)^$V$66</f>
        <v>0.62487863382940201</v>
      </c>
      <c r="X8" s="179">
        <f>($V$71)*(T8)^$V$72</f>
        <v>8.8784384929202336</v>
      </c>
      <c r="AC8" s="176">
        <f>IF($AH$50=1,$AE$52*(1-EXP(-$AE$53*(AD8-$AE$54))),IF($AH$50=2,$AE$56*(1-EXP(-$AE$57*(AD8-$AE$58)))))</f>
        <v>98.834773621769486</v>
      </c>
      <c r="AD8" s="154">
        <v>0</v>
      </c>
      <c r="AE8" s="179">
        <f>1/(1+EXP(-($AE$67+$AE$68*(((AC8+$AE$70)/$AE$69)/100))))</f>
        <v>2.3141855299531352E-16</v>
      </c>
      <c r="AF8" s="179">
        <f t="shared" ref="AF8:AF36" si="1">($V$71)*(AC8)^$V$72</f>
        <v>8.4738191675195225</v>
      </c>
    </row>
    <row r="9" spans="2:51" x14ac:dyDescent="0.2">
      <c r="B9" s="176">
        <f t="shared" ref="B9:B40" si="2">IF($G$50=1,$D$52-($D$52-$D$54)*EXP(-$D$53*C9),IF($G$50=2,$D$58*EXP((LN($D$56/$D$58))*(1-EXP(-$D$57*C9))),IF($G$50=3,$D$60-($D$60-$D$62)*EXP(-$D$61*C9))))</f>
        <v>80.829762134962209</v>
      </c>
      <c r="C9" s="154">
        <v>1</v>
      </c>
      <c r="D9" s="179">
        <f t="shared" ref="D9:D22" si="3">1/(1+EXP(-($D$67+$D$68*(((B9+$D$70)/$D$69)/100))))</f>
        <v>3.3472521880109198E-9</v>
      </c>
      <c r="E9" s="165">
        <f t="shared" ref="E9:E40" si="4">$D$65*(((B9+$D$70)/$D$69)/100)^$D$66</f>
        <v>0.61440121974132489</v>
      </c>
      <c r="F9" s="179">
        <f t="shared" ref="F9:F40" si="5">($D$71)*(B9)^$D$72</f>
        <v>5.1369531908186667</v>
      </c>
      <c r="K9" s="176">
        <f t="shared" si="0"/>
        <v>85.735737311017004</v>
      </c>
      <c r="L9" s="154">
        <v>1</v>
      </c>
      <c r="M9" s="179">
        <f t="shared" ref="M9:M37" si="6">1/(1+EXP(-($M$67+$M$68*(((K9+$M$70)/$M$69)/100))))</f>
        <v>5.4803422434266687E-9</v>
      </c>
      <c r="N9" s="179">
        <f t="shared" ref="N9:N37" si="7">($M$71)*(K9)^$M$72</f>
        <v>6.1812735379277859</v>
      </c>
      <c r="P9" s="144"/>
      <c r="Q9" s="144"/>
      <c r="R9" s="144"/>
      <c r="S9" s="208"/>
      <c r="T9" s="176">
        <f t="shared" ref="T9:T36" si="8">IF($Y$50=1,$V$52*(1-EXP(-$V$53*(U9-$V$54))),IF($Y$50=2,$V$56*(1-EXP(-$V$57*(U9-$V$58)))))</f>
        <v>112.58383966235986</v>
      </c>
      <c r="U9" s="154">
        <v>1</v>
      </c>
      <c r="V9" s="179">
        <f t="shared" ref="V9:V36" si="9">1/(1+EXP(-($V$67+$V$68*(((T9+$V$70)/$V$69)/100))))</f>
        <v>2.4856521126116172E-15</v>
      </c>
      <c r="W9" s="165">
        <f t="shared" ref="W9:W36" si="10">$V$65*(((T9+$V$70)/$V$69)/100)^$V$66</f>
        <v>0.81408360320991435</v>
      </c>
      <c r="X9" s="179">
        <f t="shared" ref="X9:X36" si="11">($V$71)*(T9)^$V$72</f>
        <v>12.083221039455376</v>
      </c>
      <c r="AC9" s="176">
        <f t="shared" ref="AC9:AC36" si="12">IF($AH$50=1,$AE$52*(1-EXP(-$AE$53*(AD9-$AE$54))),IF($AH$50=2,$AE$56*(1-EXP(-$AE$57*(AD9-$AE$58)))))</f>
        <v>116.51072741053544</v>
      </c>
      <c r="AD9" s="154">
        <v>1</v>
      </c>
      <c r="AE9" s="179">
        <f t="shared" ref="AE9:AE36" si="13">1/(1+EXP(-($AE$67+$AE$68*(((AC9+$AE$70)/$AE$69)/100))))</f>
        <v>4.896858724669337E-15</v>
      </c>
      <c r="AF9" s="179">
        <f t="shared" si="1"/>
        <v>13.266218897618325</v>
      </c>
    </row>
    <row r="10" spans="2:51" x14ac:dyDescent="0.2">
      <c r="B10" s="176">
        <f t="shared" si="2"/>
        <v>97.554168158000437</v>
      </c>
      <c r="C10" s="154">
        <v>2</v>
      </c>
      <c r="D10" s="179">
        <f t="shared" si="3"/>
        <v>1.7972900812808233E-8</v>
      </c>
      <c r="E10" s="165">
        <f t="shared" si="4"/>
        <v>0.9471858166210475</v>
      </c>
      <c r="F10" s="179">
        <f t="shared" si="5"/>
        <v>9.2730115877896786</v>
      </c>
      <c r="K10" s="176">
        <f t="shared" si="0"/>
        <v>105.58045811713706</v>
      </c>
      <c r="L10" s="154">
        <v>2</v>
      </c>
      <c r="M10" s="179">
        <f t="shared" si="6"/>
        <v>4.0264495067110743E-8</v>
      </c>
      <c r="N10" s="179">
        <f t="shared" si="7"/>
        <v>11.886808185841145</v>
      </c>
      <c r="P10" s="144"/>
      <c r="Q10" s="144"/>
      <c r="R10" s="144"/>
      <c r="S10" s="208"/>
      <c r="T10" s="176">
        <f t="shared" si="8"/>
        <v>124.15394140197773</v>
      </c>
      <c r="U10" s="154">
        <v>2</v>
      </c>
      <c r="V10" s="179">
        <f t="shared" si="9"/>
        <v>1.8326605461449578E-14</v>
      </c>
      <c r="W10" s="165">
        <f t="shared" si="10"/>
        <v>1.0233790660981588</v>
      </c>
      <c r="X10" s="179">
        <f t="shared" si="11"/>
        <v>15.773320256782105</v>
      </c>
      <c r="AC10" s="176">
        <f t="shared" si="12"/>
        <v>132.82768929092009</v>
      </c>
      <c r="AD10" s="154">
        <v>2</v>
      </c>
      <c r="AE10" s="179">
        <f t="shared" si="13"/>
        <v>8.1945706000007267E-14</v>
      </c>
      <c r="AF10" s="179">
        <f t="shared" si="1"/>
        <v>18.959273049878146</v>
      </c>
    </row>
    <row r="11" spans="2:51" x14ac:dyDescent="0.2">
      <c r="B11" s="176">
        <f t="shared" si="2"/>
        <v>113.24174462179218</v>
      </c>
      <c r="C11" s="154">
        <v>3</v>
      </c>
      <c r="D11" s="179">
        <f t="shared" si="3"/>
        <v>8.695526885960504E-8</v>
      </c>
      <c r="E11" s="165">
        <f t="shared" si="4"/>
        <v>1.3363780801606828</v>
      </c>
      <c r="F11" s="179">
        <f t="shared" si="5"/>
        <v>14.812037419176265</v>
      </c>
      <c r="K11" s="176">
        <f t="shared" si="0"/>
        <v>122.90177646655454</v>
      </c>
      <c r="L11" s="154">
        <v>3</v>
      </c>
      <c r="M11" s="179">
        <f t="shared" si="6"/>
        <v>2.2956406966252118E-7</v>
      </c>
      <c r="N11" s="179">
        <f t="shared" si="7"/>
        <v>19.154540510210062</v>
      </c>
      <c r="P11" s="144"/>
      <c r="Q11" s="144"/>
      <c r="R11" s="144"/>
      <c r="S11" s="208"/>
      <c r="T11" s="176">
        <f t="shared" si="8"/>
        <v>135.27037296332048</v>
      </c>
      <c r="U11" s="154">
        <v>3</v>
      </c>
      <c r="V11" s="179">
        <f t="shared" si="9"/>
        <v>1.2494043054582579E-13</v>
      </c>
      <c r="W11" s="165">
        <f t="shared" si="10"/>
        <v>1.2507367377282457</v>
      </c>
      <c r="X11" s="179">
        <f t="shared" si="11"/>
        <v>19.924249971346672</v>
      </c>
      <c r="AC11" s="176">
        <f t="shared" si="12"/>
        <v>147.8901435260708</v>
      </c>
      <c r="AD11" s="154">
        <v>3</v>
      </c>
      <c r="AE11" s="179">
        <f t="shared" si="13"/>
        <v>1.1042294507055121E-12</v>
      </c>
      <c r="AF11" s="179">
        <f t="shared" si="1"/>
        <v>25.404575697578135</v>
      </c>
    </row>
    <row r="12" spans="2:51" x14ac:dyDescent="0.2">
      <c r="B12" s="176">
        <f t="shared" si="2"/>
        <v>127.95676977534936</v>
      </c>
      <c r="C12" s="154">
        <v>4</v>
      </c>
      <c r="D12" s="179">
        <f t="shared" si="3"/>
        <v>3.8152845265960716E-7</v>
      </c>
      <c r="E12" s="165">
        <f t="shared" si="4"/>
        <v>1.7727840441924758</v>
      </c>
      <c r="F12" s="179">
        <f t="shared" si="5"/>
        <v>21.739523946393806</v>
      </c>
      <c r="K12" s="176">
        <f t="shared" si="0"/>
        <v>138.02056157283528</v>
      </c>
      <c r="L12" s="154">
        <v>4</v>
      </c>
      <c r="M12" s="179">
        <f t="shared" si="6"/>
        <v>1.0489545028415816E-6</v>
      </c>
      <c r="N12" s="179">
        <f>($M$71)*(K12)^$M$72</f>
        <v>27.575150133920836</v>
      </c>
      <c r="P12" s="144"/>
      <c r="Q12" s="144"/>
      <c r="R12" s="144"/>
      <c r="S12" s="208"/>
      <c r="T12" s="176">
        <f t="shared" si="8"/>
        <v>145.9509230085182</v>
      </c>
      <c r="U12" s="154">
        <v>4</v>
      </c>
      <c r="V12" s="179">
        <f t="shared" si="9"/>
        <v>7.9001842536066367E-13</v>
      </c>
      <c r="W12" s="165">
        <f t="shared" si="10"/>
        <v>1.494159086237953</v>
      </c>
      <c r="X12" s="179">
        <f t="shared" si="11"/>
        <v>24.507285520645411</v>
      </c>
      <c r="AC12" s="176">
        <f t="shared" si="12"/>
        <v>161.79454124723898</v>
      </c>
      <c r="AD12" s="154">
        <v>4</v>
      </c>
      <c r="AE12" s="179">
        <f t="shared" si="13"/>
        <v>1.2182875811129655E-11</v>
      </c>
      <c r="AF12" s="179">
        <f t="shared" si="1"/>
        <v>32.450900862017718</v>
      </c>
    </row>
    <row r="13" spans="2:51" x14ac:dyDescent="0.2">
      <c r="B13" s="176">
        <f t="shared" si="2"/>
        <v>141.7595369376065</v>
      </c>
      <c r="C13" s="154">
        <v>5</v>
      </c>
      <c r="D13" s="179">
        <f t="shared" si="3"/>
        <v>1.5273637170715838E-6</v>
      </c>
      <c r="E13" s="165">
        <f t="shared" si="4"/>
        <v>2.247594162678821</v>
      </c>
      <c r="F13" s="179">
        <f t="shared" si="5"/>
        <v>29.990015373498071</v>
      </c>
      <c r="K13" s="176">
        <f t="shared" si="0"/>
        <v>151.21688176503261</v>
      </c>
      <c r="L13" s="154">
        <v>5</v>
      </c>
      <c r="M13" s="179">
        <f t="shared" si="6"/>
        <v>3.9509660814995072E-6</v>
      </c>
      <c r="N13" s="179">
        <f t="shared" si="7"/>
        <v>36.733898187377491</v>
      </c>
      <c r="P13" s="144"/>
      <c r="Q13" s="144"/>
      <c r="R13" s="144"/>
      <c r="S13" s="208"/>
      <c r="T13" s="176">
        <f t="shared" si="8"/>
        <v>156.21268269628203</v>
      </c>
      <c r="U13" s="154">
        <v>5</v>
      </c>
      <c r="V13" s="179">
        <f t="shared" si="9"/>
        <v>4.6469324820001408E-12</v>
      </c>
      <c r="W13" s="165">
        <f t="shared" si="10"/>
        <v>1.7517100287239802</v>
      </c>
      <c r="X13" s="179">
        <f t="shared" si="11"/>
        <v>29.490884026157687</v>
      </c>
      <c r="AC13" s="176">
        <f t="shared" si="12"/>
        <v>174.62991807031042</v>
      </c>
      <c r="AD13" s="154">
        <v>5</v>
      </c>
      <c r="AE13" s="179">
        <f t="shared" si="13"/>
        <v>1.1175692761016506E-10</v>
      </c>
      <c r="AF13" s="179">
        <f t="shared" si="1"/>
        <v>39.953086840379818</v>
      </c>
    </row>
    <row r="14" spans="2:51" x14ac:dyDescent="0.2">
      <c r="B14" s="176">
        <f t="shared" si="2"/>
        <v>154.70660154316226</v>
      </c>
      <c r="C14" s="154">
        <v>6</v>
      </c>
      <c r="D14" s="179">
        <f t="shared" si="3"/>
        <v>5.6106083002067211E-6</v>
      </c>
      <c r="E14" s="165">
        <f t="shared" si="4"/>
        <v>2.7526256006249232</v>
      </c>
      <c r="F14" s="179">
        <f t="shared" si="5"/>
        <v>39.462705528510078</v>
      </c>
      <c r="K14" s="176">
        <f t="shared" si="0"/>
        <v>162.73519262075413</v>
      </c>
      <c r="L14" s="154">
        <v>6</v>
      </c>
      <c r="M14" s="179">
        <f t="shared" si="6"/>
        <v>1.2572204804074098E-5</v>
      </c>
      <c r="N14" s="179">
        <f t="shared" si="7"/>
        <v>46.259008020872734</v>
      </c>
      <c r="P14" s="144"/>
      <c r="Q14" s="144"/>
      <c r="R14" s="144"/>
      <c r="S14" s="208"/>
      <c r="T14" s="176">
        <f t="shared" si="8"/>
        <v>166.07207303140456</v>
      </c>
      <c r="U14" s="154">
        <v>6</v>
      </c>
      <c r="V14" s="179">
        <f t="shared" si="9"/>
        <v>2.5498922867108918E-11</v>
      </c>
      <c r="W14" s="165">
        <f t="shared" si="10"/>
        <v>2.0215352723866333</v>
      </c>
      <c r="X14" s="179">
        <f t="shared" si="11"/>
        <v>34.841797032087896</v>
      </c>
      <c r="AC14" s="176">
        <f t="shared" si="12"/>
        <v>186.47846422771988</v>
      </c>
      <c r="AD14" s="154">
        <v>6</v>
      </c>
      <c r="AE14" s="179">
        <f t="shared" si="13"/>
        <v>8.6456306747363427E-10</v>
      </c>
      <c r="AF14" s="179">
        <f t="shared" si="1"/>
        <v>47.777148244601641</v>
      </c>
    </row>
    <row r="15" spans="2:51" x14ac:dyDescent="0.2">
      <c r="B15" s="176">
        <f t="shared" si="2"/>
        <v>166.85101287242088</v>
      </c>
      <c r="C15" s="154">
        <v>7</v>
      </c>
      <c r="D15" s="179">
        <f t="shared" si="3"/>
        <v>1.9012617643259414E-5</v>
      </c>
      <c r="E15" s="165">
        <f t="shared" si="4"/>
        <v>3.2804375456041108</v>
      </c>
      <c r="F15" s="179">
        <f t="shared" si="5"/>
        <v>50.033932122364689</v>
      </c>
      <c r="K15" s="176">
        <f t="shared" si="0"/>
        <v>172.78886538988553</v>
      </c>
      <c r="L15" s="154">
        <v>7</v>
      </c>
      <c r="M15" s="179">
        <f t="shared" si="6"/>
        <v>3.4529499269372773E-5</v>
      </c>
      <c r="N15" s="179">
        <f t="shared" si="7"/>
        <v>55.842152339538266</v>
      </c>
      <c r="P15" s="144"/>
      <c r="Q15" s="144"/>
      <c r="R15" s="144"/>
      <c r="S15" s="208"/>
      <c r="T15" s="176">
        <f t="shared" si="8"/>
        <v>175.5448711418708</v>
      </c>
      <c r="U15" s="154">
        <v>7</v>
      </c>
      <c r="V15" s="179">
        <f t="shared" si="9"/>
        <v>1.3088406210500967E-10</v>
      </c>
      <c r="W15" s="165">
        <f t="shared" si="10"/>
        <v>2.3018753456149716</v>
      </c>
      <c r="X15" s="179">
        <f t="shared" si="11"/>
        <v>40.525942564908711</v>
      </c>
      <c r="AC15" s="176">
        <f t="shared" si="12"/>
        <v>197.41605086654113</v>
      </c>
      <c r="AD15" s="154">
        <v>7</v>
      </c>
      <c r="AE15" s="179">
        <f t="shared" si="13"/>
        <v>5.7148662159501157E-9</v>
      </c>
      <c r="AF15" s="179">
        <f t="shared" si="1"/>
        <v>55.802921443122202</v>
      </c>
    </row>
    <row r="16" spans="2:51" x14ac:dyDescent="0.2">
      <c r="B16" s="176">
        <f t="shared" si="2"/>
        <v>178.24253141562318</v>
      </c>
      <c r="C16" s="154">
        <v>8</v>
      </c>
      <c r="D16" s="179">
        <f t="shared" si="3"/>
        <v>5.9731348831436604E-5</v>
      </c>
      <c r="E16" s="165">
        <f t="shared" si="4"/>
        <v>3.824371545369412</v>
      </c>
      <c r="F16" s="179">
        <f t="shared" si="5"/>
        <v>61.566964840715436</v>
      </c>
      <c r="K16" s="176">
        <f t="shared" si="0"/>
        <v>181.56413959587431</v>
      </c>
      <c r="L16" s="154">
        <v>8</v>
      </c>
      <c r="M16" s="179">
        <f t="shared" si="6"/>
        <v>8.339927030659123E-5</v>
      </c>
      <c r="N16" s="179">
        <f t="shared" si="7"/>
        <v>65.242738755873489</v>
      </c>
      <c r="P16" s="144"/>
      <c r="Q16" s="144"/>
      <c r="R16" s="144"/>
      <c r="S16" s="208"/>
      <c r="T16" s="176">
        <f t="shared" si="8"/>
        <v>184.64623552562878</v>
      </c>
      <c r="U16" s="154">
        <v>8</v>
      </c>
      <c r="V16" s="179">
        <f t="shared" si="9"/>
        <v>6.3008318213886589E-10</v>
      </c>
      <c r="W16" s="165">
        <f t="shared" si="10"/>
        <v>2.5910733817707778</v>
      </c>
      <c r="X16" s="179">
        <f t="shared" si="11"/>
        <v>46.509086537209079</v>
      </c>
      <c r="AC16" s="176">
        <f t="shared" si="12"/>
        <v>207.51271588285701</v>
      </c>
      <c r="AD16" s="154">
        <v>8</v>
      </c>
      <c r="AE16" s="179">
        <f t="shared" si="13"/>
        <v>3.2670422624322915E-8</v>
      </c>
      <c r="AF16" s="179">
        <f t="shared" si="1"/>
        <v>63.925099956097519</v>
      </c>
    </row>
    <row r="17" spans="2:32" x14ac:dyDescent="0.2">
      <c r="B17" s="176">
        <f t="shared" si="2"/>
        <v>188.92783276139389</v>
      </c>
      <c r="C17" s="154">
        <v>9</v>
      </c>
      <c r="D17" s="179">
        <f t="shared" si="3"/>
        <v>1.7478649938464021E-4</v>
      </c>
      <c r="E17" s="165">
        <f t="shared" si="4"/>
        <v>4.3785468583707097</v>
      </c>
      <c r="F17" s="179">
        <f t="shared" si="5"/>
        <v>73.919512027892807</v>
      </c>
      <c r="K17" s="176">
        <f t="shared" si="0"/>
        <v>189.22357303463991</v>
      </c>
      <c r="L17" s="154">
        <v>9</v>
      </c>
      <c r="M17" s="179">
        <f t="shared" si="6"/>
        <v>1.8005826282842428E-4</v>
      </c>
      <c r="N17" s="179">
        <f t="shared" si="7"/>
        <v>74.28353395959428</v>
      </c>
      <c r="P17" s="144"/>
      <c r="Q17" s="144"/>
      <c r="R17" s="144"/>
      <c r="S17" s="208"/>
      <c r="T17" s="176">
        <f t="shared" si="8"/>
        <v>193.39073030742057</v>
      </c>
      <c r="U17" s="154">
        <v>9</v>
      </c>
      <c r="V17" s="179">
        <f t="shared" si="9"/>
        <v>2.8519858449854426E-9</v>
      </c>
      <c r="W17" s="165">
        <f t="shared" si="10"/>
        <v>2.887579097675594</v>
      </c>
      <c r="X17" s="179">
        <f t="shared" si="11"/>
        <v>52.757371650164139</v>
      </c>
      <c r="AC17" s="176">
        <f t="shared" si="12"/>
        <v>216.83311240340834</v>
      </c>
      <c r="AD17" s="154">
        <v>9</v>
      </c>
      <c r="AE17" s="179">
        <f t="shared" si="13"/>
        <v>1.6333942930394451E-7</v>
      </c>
      <c r="AF17" s="179">
        <f t="shared" si="1"/>
        <v>72.0532347020212</v>
      </c>
    </row>
    <row r="18" spans="2:32" x14ac:dyDescent="0.2">
      <c r="B18" s="176">
        <f t="shared" si="2"/>
        <v>198.95069884521925</v>
      </c>
      <c r="C18" s="154">
        <v>10</v>
      </c>
      <c r="D18" s="179">
        <f t="shared" si="3"/>
        <v>4.7843153142306324E-4</v>
      </c>
      <c r="E18" s="165">
        <f t="shared" si="4"/>
        <v>4.9378290306411046</v>
      </c>
      <c r="F18" s="179">
        <f t="shared" si="5"/>
        <v>86.94934576200616</v>
      </c>
      <c r="K18" s="176">
        <f t="shared" si="0"/>
        <v>195.90905308070421</v>
      </c>
      <c r="L18" s="154">
        <v>10</v>
      </c>
      <c r="M18" s="179">
        <f t="shared" si="6"/>
        <v>3.5247080957126015E-4</v>
      </c>
      <c r="N18" s="179">
        <f t="shared" si="7"/>
        <v>82.842273568445847</v>
      </c>
      <c r="P18" s="144"/>
      <c r="Q18" s="144"/>
      <c r="R18" s="144"/>
      <c r="S18" s="208"/>
      <c r="T18" s="176">
        <f t="shared" si="8"/>
        <v>201.79234854448873</v>
      </c>
      <c r="U18" s="154">
        <v>10</v>
      </c>
      <c r="V18" s="179">
        <f t="shared" si="9"/>
        <v>1.2167028788864915E-8</v>
      </c>
      <c r="W18" s="165">
        <f t="shared" si="10"/>
        <v>3.1899499999302887</v>
      </c>
      <c r="X18" s="179">
        <f t="shared" si="11"/>
        <v>59.237723542526446</v>
      </c>
      <c r="AC18" s="176">
        <f t="shared" si="12"/>
        <v>225.43692278633435</v>
      </c>
      <c r="AD18" s="154">
        <v>10</v>
      </c>
      <c r="AE18" s="179">
        <f t="shared" si="13"/>
        <v>7.2158974109012701E-7</v>
      </c>
      <c r="AF18" s="179">
        <f t="shared" si="1"/>
        <v>80.111089436658006</v>
      </c>
    </row>
    <row r="19" spans="2:32" x14ac:dyDescent="0.2">
      <c r="B19" s="176">
        <f t="shared" si="2"/>
        <v>208.35219734147441</v>
      </c>
      <c r="C19" s="154">
        <v>11</v>
      </c>
      <c r="D19" s="179">
        <f t="shared" si="3"/>
        <v>1.2297525034590103E-3</v>
      </c>
      <c r="E19" s="165">
        <f t="shared" si="4"/>
        <v>5.4977831408176172</v>
      </c>
      <c r="F19" s="179">
        <f t="shared" si="5"/>
        <v>100.51840058567744</v>
      </c>
      <c r="K19" s="176">
        <f t="shared" si="0"/>
        <v>201.74442508356179</v>
      </c>
      <c r="L19" s="154">
        <v>11</v>
      </c>
      <c r="M19" s="179">
        <f t="shared" si="6"/>
        <v>6.3340789487920796E-4</v>
      </c>
      <c r="N19" s="179">
        <f t="shared" si="7"/>
        <v>90.841987710671006</v>
      </c>
      <c r="P19" s="144"/>
      <c r="Q19" s="144"/>
      <c r="R19" s="144"/>
      <c r="S19" s="208"/>
      <c r="T19" s="176">
        <f t="shared" si="8"/>
        <v>209.86453461845338</v>
      </c>
      <c r="U19" s="154">
        <v>11</v>
      </c>
      <c r="V19" s="179">
        <f t="shared" si="9"/>
        <v>4.9036287506239338E-8</v>
      </c>
      <c r="W19" s="165">
        <f t="shared" si="10"/>
        <v>3.4968505736159576</v>
      </c>
      <c r="X19" s="179">
        <f t="shared" si="11"/>
        <v>65.918157738652226</v>
      </c>
      <c r="AC19" s="176">
        <f t="shared" si="12"/>
        <v>233.37924079202443</v>
      </c>
      <c r="AD19" s="154">
        <v>11</v>
      </c>
      <c r="AE19" s="179">
        <f t="shared" si="13"/>
        <v>2.843699410240206E-6</v>
      </c>
      <c r="AF19" s="179">
        <f t="shared" si="1"/>
        <v>88.035617269175489</v>
      </c>
    </row>
    <row r="20" spans="2:32" x14ac:dyDescent="0.2">
      <c r="B20" s="176">
        <f t="shared" si="2"/>
        <v>217.17084993404242</v>
      </c>
      <c r="C20" s="154">
        <v>12</v>
      </c>
      <c r="D20" s="179">
        <f t="shared" si="3"/>
        <v>2.9781271232342927E-3</v>
      </c>
      <c r="E20" s="165">
        <f t="shared" si="4"/>
        <v>6.0546190463052634</v>
      </c>
      <c r="F20" s="179">
        <f t="shared" si="5"/>
        <v>114.49565147476127</v>
      </c>
      <c r="K20" s="176">
        <f t="shared" si="0"/>
        <v>206.83778654408695</v>
      </c>
      <c r="L20" s="154">
        <v>12</v>
      </c>
      <c r="M20" s="179">
        <f t="shared" si="6"/>
        <v>1.056324348778642E-3</v>
      </c>
      <c r="N20" s="179">
        <f t="shared" si="7"/>
        <v>98.241547094000481</v>
      </c>
      <c r="P20" s="144"/>
      <c r="Q20" s="144"/>
      <c r="R20" s="144"/>
      <c r="S20" s="208"/>
      <c r="T20" s="176">
        <f t="shared" si="8"/>
        <v>217.62020574919103</v>
      </c>
      <c r="U20" s="154">
        <v>12</v>
      </c>
      <c r="V20" s="179">
        <f t="shared" si="9"/>
        <v>1.8711781473415044E-7</v>
      </c>
      <c r="W20" s="165">
        <f t="shared" si="10"/>
        <v>3.8070500127315925</v>
      </c>
      <c r="X20" s="179">
        <f t="shared" si="11"/>
        <v>72.768006265229118</v>
      </c>
      <c r="AC20" s="176">
        <f t="shared" si="12"/>
        <v>240.71092437127786</v>
      </c>
      <c r="AD20" s="154">
        <v>12</v>
      </c>
      <c r="AE20" s="179">
        <f t="shared" si="13"/>
        <v>1.0085172701552917E-5</v>
      </c>
      <c r="AF20" s="179">
        <f t="shared" si="1"/>
        <v>95.775738649385261</v>
      </c>
    </row>
    <row r="21" spans="2:32" x14ac:dyDescent="0.2">
      <c r="B21" s="176">
        <f t="shared" si="2"/>
        <v>225.44279015499583</v>
      </c>
      <c r="C21" s="154">
        <v>13</v>
      </c>
      <c r="D21" s="179">
        <f t="shared" si="3"/>
        <v>6.8123234635604196E-3</v>
      </c>
      <c r="E21" s="165">
        <f t="shared" si="4"/>
        <v>6.6051333703545332</v>
      </c>
      <c r="F21" s="179">
        <f t="shared" si="5"/>
        <v>128.75902840418209</v>
      </c>
      <c r="K21" s="176">
        <f t="shared" si="0"/>
        <v>211.28348956950833</v>
      </c>
      <c r="L21" s="154">
        <v>13</v>
      </c>
      <c r="M21" s="179">
        <f t="shared" si="6"/>
        <v>1.6503263352239976E-3</v>
      </c>
      <c r="N21" s="179">
        <f t="shared" si="7"/>
        <v>105.02717685623172</v>
      </c>
      <c r="P21" s="144"/>
      <c r="Q21" s="144"/>
      <c r="R21" s="144"/>
      <c r="S21" s="208"/>
      <c r="T21" s="176">
        <f t="shared" si="8"/>
        <v>225.07177266514239</v>
      </c>
      <c r="U21" s="154">
        <v>13</v>
      </c>
      <c r="V21" s="179">
        <f t="shared" si="9"/>
        <v>6.7749761305306672E-7</v>
      </c>
      <c r="W21" s="165">
        <f t="shared" si="10"/>
        <v>4.1194189117372737</v>
      </c>
      <c r="X21" s="179">
        <f t="shared" si="11"/>
        <v>79.758079193450598</v>
      </c>
      <c r="AC21" s="176">
        <f t="shared" si="12"/>
        <v>247.47892132982119</v>
      </c>
      <c r="AD21" s="154">
        <v>13</v>
      </c>
      <c r="AE21" s="179">
        <f t="shared" si="13"/>
        <v>3.2449318159927793E-5</v>
      </c>
      <c r="AF21" s="179">
        <f t="shared" si="1"/>
        <v>103.29104183475766</v>
      </c>
    </row>
    <row r="22" spans="2:32" x14ac:dyDescent="0.2">
      <c r="B22" s="176">
        <f t="shared" si="2"/>
        <v>233.20191143806943</v>
      </c>
      <c r="C22" s="154">
        <v>14</v>
      </c>
      <c r="D22" s="179">
        <f t="shared" si="3"/>
        <v>1.473869357245706E-2</v>
      </c>
      <c r="E22" s="165">
        <f t="shared" si="4"/>
        <v>7.1466512852433333</v>
      </c>
      <c r="F22" s="179">
        <f t="shared" si="5"/>
        <v>143.19658098038275</v>
      </c>
      <c r="K22" s="176">
        <f t="shared" si="0"/>
        <v>215.1638887014802</v>
      </c>
      <c r="L22" s="154">
        <v>14</v>
      </c>
      <c r="M22" s="179">
        <f t="shared" si="6"/>
        <v>2.4354910982443386E-3</v>
      </c>
      <c r="N22" s="179">
        <f t="shared" si="7"/>
        <v>111.20523464342463</v>
      </c>
      <c r="P22" s="144"/>
      <c r="Q22" s="144"/>
      <c r="R22" s="144"/>
      <c r="S22" s="208"/>
      <c r="T22" s="176">
        <f t="shared" si="8"/>
        <v>232.23115946312529</v>
      </c>
      <c r="U22" s="154">
        <v>14</v>
      </c>
      <c r="V22" s="179">
        <f t="shared" si="9"/>
        <v>2.3323263315597134E-6</v>
      </c>
      <c r="W22" s="165">
        <f t="shared" si="10"/>
        <v>4.4329252352103738</v>
      </c>
      <c r="X22" s="179">
        <f t="shared" si="11"/>
        <v>86.860773529050974</v>
      </c>
      <c r="AC22" s="176">
        <f t="shared" si="12"/>
        <v>253.72656995454759</v>
      </c>
      <c r="AD22" s="154">
        <v>14</v>
      </c>
      <c r="AE22" s="179">
        <f t="shared" si="13"/>
        <v>9.5430952733433459E-5</v>
      </c>
      <c r="AF22" s="179">
        <f t="shared" si="1"/>
        <v>110.55048536253335</v>
      </c>
    </row>
    <row r="23" spans="2:32" x14ac:dyDescent="0.2">
      <c r="B23" s="176">
        <f t="shared" si="2"/>
        <v>240.48000599355777</v>
      </c>
      <c r="C23" s="154">
        <v>15</v>
      </c>
      <c r="D23" s="179">
        <f t="shared" ref="D23:D40" si="14">1/(1+EXP(-($D$67+$D$68*(((B23+$D$70)/$D$69)/100))))</f>
        <v>3.014826481743629E-2</v>
      </c>
      <c r="E23" s="165">
        <f t="shared" si="4"/>
        <v>7.6769700298512777</v>
      </c>
      <c r="F23" s="179">
        <f t="shared" si="5"/>
        <v>157.70706808451257</v>
      </c>
      <c r="K23" s="176">
        <f t="shared" si="0"/>
        <v>218.55086649493745</v>
      </c>
      <c r="L23" s="154">
        <v>15</v>
      </c>
      <c r="M23" s="179">
        <f t="shared" si="6"/>
        <v>3.4196457345250985E-3</v>
      </c>
      <c r="N23" s="179">
        <f t="shared" si="7"/>
        <v>116.79629422125916</v>
      </c>
      <c r="P23" s="144"/>
      <c r="Q23" s="144"/>
      <c r="R23" s="144"/>
      <c r="S23" s="208"/>
      <c r="T23" s="176">
        <f t="shared" si="8"/>
        <v>239.10982268943374</v>
      </c>
      <c r="U23" s="154">
        <v>15</v>
      </c>
      <c r="V23" s="179">
        <f t="shared" si="9"/>
        <v>7.6492317013539252E-6</v>
      </c>
      <c r="W23" s="165">
        <f t="shared" si="10"/>
        <v>4.7466298065522476</v>
      </c>
      <c r="X23" s="179">
        <f t="shared" si="11"/>
        <v>94.050139618612178</v>
      </c>
      <c r="AC23" s="176">
        <f t="shared" si="12"/>
        <v>259.49387652651245</v>
      </c>
      <c r="AD23" s="154">
        <v>15</v>
      </c>
      <c r="AE23" s="179">
        <f t="shared" si="13"/>
        <v>2.5829066829317774E-4</v>
      </c>
      <c r="AF23" s="179">
        <f t="shared" si="1"/>
        <v>117.53115304643707</v>
      </c>
    </row>
    <row r="24" spans="2:32" x14ac:dyDescent="0.2">
      <c r="B24" s="176">
        <f t="shared" si="2"/>
        <v>247.30689507366327</v>
      </c>
      <c r="C24" s="154">
        <v>16</v>
      </c>
      <c r="D24" s="179">
        <f t="shared" si="14"/>
        <v>5.8143156902107182E-2</v>
      </c>
      <c r="E24" s="165">
        <f t="shared" si="4"/>
        <v>8.1943053493772116</v>
      </c>
      <c r="F24" s="179">
        <f t="shared" si="5"/>
        <v>172.20011442325398</v>
      </c>
      <c r="K24" s="176">
        <f t="shared" si="0"/>
        <v>221.50716510835952</v>
      </c>
      <c r="L24" s="154">
        <v>16</v>
      </c>
      <c r="M24" s="179">
        <f t="shared" si="6"/>
        <v>4.5972071587974421E-3</v>
      </c>
      <c r="N24" s="179">
        <f t="shared" si="7"/>
        <v>121.83044242914517</v>
      </c>
      <c r="P24" s="144"/>
      <c r="Q24" s="144"/>
      <c r="R24" s="144"/>
      <c r="S24" s="208"/>
      <c r="T24" s="176">
        <f t="shared" si="8"/>
        <v>245.71876967275642</v>
      </c>
      <c r="U24" s="154">
        <v>16</v>
      </c>
      <c r="V24" s="179">
        <f t="shared" si="9"/>
        <v>2.3945038162805502E-5</v>
      </c>
      <c r="W24" s="165">
        <f t="shared" si="10"/>
        <v>5.0596814993855155</v>
      </c>
      <c r="X24" s="179">
        <f t="shared" si="11"/>
        <v>101.30191342804952</v>
      </c>
      <c r="AC24" s="176">
        <f t="shared" si="12"/>
        <v>264.81777149771631</v>
      </c>
      <c r="AD24" s="154">
        <v>16</v>
      </c>
      <c r="AE24" s="179">
        <f t="shared" si="13"/>
        <v>6.4740853270618529E-4</v>
      </c>
      <c r="AF24" s="179">
        <f t="shared" si="1"/>
        <v>124.21709180473708</v>
      </c>
    </row>
    <row r="25" spans="2:32" x14ac:dyDescent="0.2">
      <c r="B25" s="176">
        <f t="shared" si="2"/>
        <v>253.71055116204391</v>
      </c>
      <c r="C25" s="154">
        <v>17</v>
      </c>
      <c r="D25" s="179">
        <f t="shared" si="14"/>
        <v>0.105136911224794</v>
      </c>
      <c r="E25" s="165">
        <f t="shared" si="4"/>
        <v>8.6972415369823928</v>
      </c>
      <c r="F25" s="179">
        <f t="shared" si="5"/>
        <v>186.59604798699453</v>
      </c>
      <c r="K25" s="176">
        <f t="shared" si="0"/>
        <v>224.0875485725216</v>
      </c>
      <c r="L25" s="154">
        <v>17</v>
      </c>
      <c r="M25" s="179">
        <f t="shared" si="6"/>
        <v>5.9500850794380177E-3</v>
      </c>
      <c r="N25" s="179">
        <f t="shared" si="7"/>
        <v>126.34363709550585</v>
      </c>
      <c r="P25" s="144"/>
      <c r="Q25" s="144"/>
      <c r="R25" s="144"/>
      <c r="S25" s="208"/>
      <c r="T25" s="176">
        <f t="shared" si="8"/>
        <v>252.06857613825045</v>
      </c>
      <c r="U25" s="154">
        <v>17</v>
      </c>
      <c r="V25" s="179">
        <f t="shared" si="9"/>
        <v>7.1674827499376616E-5</v>
      </c>
      <c r="W25" s="165">
        <f t="shared" si="10"/>
        <v>5.3713122716419361</v>
      </c>
      <c r="X25" s="179">
        <f t="shared" si="11"/>
        <v>108.59352157839896</v>
      </c>
      <c r="AC25" s="176">
        <f t="shared" si="12"/>
        <v>269.73234597208022</v>
      </c>
      <c r="AD25" s="154">
        <v>17</v>
      </c>
      <c r="AE25" s="179">
        <f t="shared" si="13"/>
        <v>1.5112860455810525E-3</v>
      </c>
      <c r="AF25" s="179">
        <f t="shared" si="1"/>
        <v>130.59824865306447</v>
      </c>
    </row>
    <row r="26" spans="2:32" x14ac:dyDescent="0.2">
      <c r="B26" s="176">
        <f t="shared" si="2"/>
        <v>259.71721258822038</v>
      </c>
      <c r="C26" s="154">
        <v>18</v>
      </c>
      <c r="D26" s="179">
        <f t="shared" si="14"/>
        <v>0.17686031725339194</v>
      </c>
      <c r="E26" s="165">
        <f t="shared" si="4"/>
        <v>9.1846854129981725</v>
      </c>
      <c r="F26" s="179">
        <f t="shared" si="5"/>
        <v>200.82550914724533</v>
      </c>
      <c r="K26" s="176">
        <f t="shared" si="0"/>
        <v>226.33981726821119</v>
      </c>
      <c r="L26" s="154">
        <v>18</v>
      </c>
      <c r="M26" s="179">
        <f t="shared" si="6"/>
        <v>7.4501776781440328E-3</v>
      </c>
      <c r="N26" s="179">
        <f t="shared" si="7"/>
        <v>130.37495575060959</v>
      </c>
      <c r="P26" s="144"/>
      <c r="Q26" s="144"/>
      <c r="R26" s="144"/>
      <c r="S26" s="208"/>
      <c r="T26" s="176">
        <f t="shared" si="8"/>
        <v>258.16940313095824</v>
      </c>
      <c r="U26" s="154">
        <v>18</v>
      </c>
      <c r="V26" s="179">
        <f t="shared" si="9"/>
        <v>2.0549885978801607E-4</v>
      </c>
      <c r="W26" s="165">
        <f t="shared" si="10"/>
        <v>5.6808321487998343</v>
      </c>
      <c r="X26" s="179">
        <f t="shared" si="11"/>
        <v>115.90406482168822</v>
      </c>
      <c r="AC26" s="176">
        <f t="shared" si="12"/>
        <v>274.26907000490002</v>
      </c>
      <c r="AD26" s="154">
        <v>18</v>
      </c>
      <c r="AE26" s="179">
        <f t="shared" si="13"/>
        <v>3.3019914305332503E-3</v>
      </c>
      <c r="AF26" s="179">
        <f t="shared" si="1"/>
        <v>136.66951366493495</v>
      </c>
    </row>
    <row r="27" spans="2:32" x14ac:dyDescent="0.2">
      <c r="B27" s="176">
        <f t="shared" si="2"/>
        <v>265.35149103646222</v>
      </c>
      <c r="C27" s="154">
        <v>19</v>
      </c>
      <c r="D27" s="179">
        <f t="shared" si="14"/>
        <v>0.27457230683557277</v>
      </c>
      <c r="E27" s="165">
        <f t="shared" si="4"/>
        <v>9.6558243455090693</v>
      </c>
      <c r="F27" s="179">
        <f t="shared" si="5"/>
        <v>214.82890290540962</v>
      </c>
      <c r="K27" s="176">
        <f t="shared" si="0"/>
        <v>228.3056934056288</v>
      </c>
      <c r="L27" s="154">
        <v>19</v>
      </c>
      <c r="M27" s="179">
        <f t="shared" si="6"/>
        <v>9.0627565236922301E-3</v>
      </c>
      <c r="N27" s="179">
        <f t="shared" si="7"/>
        <v>133.96457028282796</v>
      </c>
      <c r="P27" s="144"/>
      <c r="Q27" s="144"/>
      <c r="R27" s="144"/>
      <c r="S27" s="208"/>
      <c r="T27" s="176">
        <f t="shared" si="8"/>
        <v>264.0310132756473</v>
      </c>
      <c r="U27" s="154">
        <v>19</v>
      </c>
      <c r="V27" s="179">
        <f t="shared" si="9"/>
        <v>5.6521691926503226E-4</v>
      </c>
      <c r="W27" s="165">
        <f t="shared" si="10"/>
        <v>5.9876242367623096</v>
      </c>
      <c r="X27" s="179">
        <f t="shared" si="11"/>
        <v>123.21428465081966</v>
      </c>
      <c r="AC27" s="176">
        <f t="shared" si="12"/>
        <v>278.45699411864115</v>
      </c>
      <c r="AD27" s="154">
        <v>19</v>
      </c>
      <c r="AE27" s="179">
        <f t="shared" si="13"/>
        <v>6.7812476135160928E-3</v>
      </c>
      <c r="AF27" s="179">
        <f t="shared" si="1"/>
        <v>142.42986933756794</v>
      </c>
    </row>
    <row r="28" spans="2:32" x14ac:dyDescent="0.2">
      <c r="B28" s="176">
        <f t="shared" si="2"/>
        <v>270.63647238966138</v>
      </c>
      <c r="C28" s="154">
        <v>20</v>
      </c>
      <c r="D28" s="179">
        <f t="shared" si="14"/>
        <v>0.39163836825621046</v>
      </c>
      <c r="E28" s="165">
        <f t="shared" si="4"/>
        <v>10.110088262131537</v>
      </c>
      <c r="F28" s="179">
        <f t="shared" si="5"/>
        <v>228.55575005950394</v>
      </c>
      <c r="K28" s="176">
        <f t="shared" si="0"/>
        <v>230.02159390855917</v>
      </c>
      <c r="L28" s="154">
        <v>20</v>
      </c>
      <c r="M28" s="179">
        <f t="shared" si="6"/>
        <v>1.0750037226140225E-2</v>
      </c>
      <c r="N28" s="179">
        <f t="shared" si="7"/>
        <v>137.1522993148898</v>
      </c>
      <c r="P28" s="144"/>
      <c r="Q28" s="144"/>
      <c r="R28" s="144"/>
      <c r="S28" s="208"/>
      <c r="T28" s="176">
        <f t="shared" si="8"/>
        <v>269.66278639909274</v>
      </c>
      <c r="U28" s="154">
        <v>20</v>
      </c>
      <c r="V28" s="179">
        <f t="shared" si="9"/>
        <v>1.4932696474226257E-3</v>
      </c>
      <c r="W28" s="165">
        <f t="shared" si="10"/>
        <v>6.291139824650017</v>
      </c>
      <c r="X28" s="179">
        <f t="shared" si="11"/>
        <v>130.50651692018556</v>
      </c>
      <c r="AC28" s="176">
        <f t="shared" si="12"/>
        <v>282.32293532546225</v>
      </c>
      <c r="AD28" s="154">
        <v>20</v>
      </c>
      <c r="AE28" s="179">
        <f t="shared" si="13"/>
        <v>1.3134976449283272E-2</v>
      </c>
      <c r="AF28" s="179">
        <f t="shared" si="1"/>
        <v>147.88164268450416</v>
      </c>
    </row>
    <row r="29" spans="2:32" x14ac:dyDescent="0.2">
      <c r="B29" s="176">
        <f t="shared" si="2"/>
        <v>275.59381132138884</v>
      </c>
      <c r="C29" s="154">
        <v>21</v>
      </c>
      <c r="D29" s="179">
        <f t="shared" si="14"/>
        <v>0.51443573618858551</v>
      </c>
      <c r="E29" s="165">
        <f t="shared" si="4"/>
        <v>10.547115503130184</v>
      </c>
      <c r="F29" s="179">
        <f t="shared" si="5"/>
        <v>241.96398025196447</v>
      </c>
      <c r="K29" s="176">
        <f t="shared" si="0"/>
        <v>231.51930502062561</v>
      </c>
      <c r="L29" s="154">
        <v>21</v>
      </c>
      <c r="M29" s="179">
        <f t="shared" si="6"/>
        <v>1.2474388696930273E-2</v>
      </c>
      <c r="N29" s="179">
        <f t="shared" si="7"/>
        <v>139.97661109312955</v>
      </c>
      <c r="P29" s="144"/>
      <c r="Q29" s="144"/>
      <c r="R29" s="144"/>
      <c r="S29" s="208"/>
      <c r="T29" s="176">
        <f t="shared" si="8"/>
        <v>275.07373453980097</v>
      </c>
      <c r="U29" s="154">
        <v>21</v>
      </c>
      <c r="V29" s="179">
        <f t="shared" si="9"/>
        <v>3.7923116211814488E-3</v>
      </c>
      <c r="W29" s="165">
        <f t="shared" si="10"/>
        <v>6.590893621976373</v>
      </c>
      <c r="X29" s="179">
        <f t="shared" si="11"/>
        <v>137.76463567573782</v>
      </c>
      <c r="AC29" s="176">
        <f t="shared" si="12"/>
        <v>285.89164884764853</v>
      </c>
      <c r="AD29" s="154">
        <v>21</v>
      </c>
      <c r="AE29" s="179">
        <f t="shared" si="13"/>
        <v>2.4055501389537444E-2</v>
      </c>
      <c r="AF29" s="179">
        <f t="shared" si="1"/>
        <v>153.02985385022828</v>
      </c>
    </row>
    <row r="30" spans="2:32" x14ac:dyDescent="0.2">
      <c r="B30" s="176">
        <f t="shared" si="2"/>
        <v>280.24382002371755</v>
      </c>
      <c r="C30" s="154">
        <v>22</v>
      </c>
      <c r="D30" s="179">
        <f t="shared" si="14"/>
        <v>0.62833098005021837</v>
      </c>
      <c r="E30" s="165">
        <f t="shared" si="4"/>
        <v>10.966722304352858</v>
      </c>
      <c r="F30" s="179">
        <f t="shared" si="5"/>
        <v>255.01919952410276</v>
      </c>
      <c r="K30" s="176">
        <f t="shared" si="0"/>
        <v>232.82657113038931</v>
      </c>
      <c r="L30" s="154">
        <v>22</v>
      </c>
      <c r="M30" s="179">
        <f t="shared" si="6"/>
        <v>1.4200852896114622E-2</v>
      </c>
      <c r="N30" s="179">
        <f t="shared" si="7"/>
        <v>142.47397118980442</v>
      </c>
      <c r="P30" s="144"/>
      <c r="Q30" s="144"/>
      <c r="R30" s="144"/>
      <c r="S30" s="208"/>
      <c r="T30" s="176">
        <f t="shared" si="8"/>
        <v>280.27251636919436</v>
      </c>
      <c r="U30" s="154">
        <v>22</v>
      </c>
      <c r="V30" s="179">
        <f t="shared" si="9"/>
        <v>9.2549183646555965E-3</v>
      </c>
      <c r="W30" s="165">
        <f t="shared" si="10"/>
        <v>6.8864591622837166</v>
      </c>
      <c r="X30" s="179">
        <f t="shared" si="11"/>
        <v>144.97398982903346</v>
      </c>
      <c r="AC30" s="176">
        <f t="shared" si="12"/>
        <v>289.18598663554974</v>
      </c>
      <c r="AD30" s="154">
        <v>22</v>
      </c>
      <c r="AE30" s="179">
        <f t="shared" si="13"/>
        <v>4.171813485299139E-2</v>
      </c>
      <c r="AF30" s="179">
        <f t="shared" si="1"/>
        <v>157.88165362906403</v>
      </c>
    </row>
    <row r="31" spans="2:32" x14ac:dyDescent="0.2">
      <c r="B31" s="176">
        <f t="shared" si="2"/>
        <v>284.60555143436324</v>
      </c>
      <c r="C31" s="154">
        <v>23</v>
      </c>
      <c r="D31" s="179">
        <f t="shared" si="14"/>
        <v>0.72380145498543169</v>
      </c>
      <c r="E31" s="165">
        <f t="shared" si="4"/>
        <v>11.368875663392169</v>
      </c>
      <c r="F31" s="179">
        <f t="shared" si="5"/>
        <v>267.69395671472176</v>
      </c>
      <c r="K31" s="176">
        <f t="shared" si="0"/>
        <v>233.96760872299873</v>
      </c>
      <c r="L31" s="154">
        <v>23</v>
      </c>
      <c r="M31" s="179">
        <f t="shared" si="6"/>
        <v>1.5898854663740188E-2</v>
      </c>
      <c r="N31" s="179">
        <f t="shared" si="7"/>
        <v>144.67844929189175</v>
      </c>
      <c r="P31" s="144"/>
      <c r="Q31" s="144"/>
      <c r="R31" s="144"/>
      <c r="S31" s="208"/>
      <c r="T31" s="176">
        <f t="shared" si="8"/>
        <v>285.26745104733249</v>
      </c>
      <c r="U31" s="154">
        <v>23</v>
      </c>
      <c r="V31" s="179">
        <f t="shared" si="9"/>
        <v>2.1650832151030794E-2</v>
      </c>
      <c r="W31" s="165">
        <f t="shared" si="10"/>
        <v>7.1774643955952167</v>
      </c>
      <c r="X31" s="179">
        <f t="shared" si="11"/>
        <v>152.12133483918862</v>
      </c>
      <c r="AC31" s="176">
        <f t="shared" si="12"/>
        <v>292.22704369808048</v>
      </c>
      <c r="AD31" s="154">
        <v>23</v>
      </c>
      <c r="AE31" s="179">
        <f t="shared" si="13"/>
        <v>6.8554779385592776E-2</v>
      </c>
      <c r="AF31" s="179">
        <f t="shared" si="1"/>
        <v>162.44584162704479</v>
      </c>
    </row>
    <row r="32" spans="2:32" x14ac:dyDescent="0.2">
      <c r="B32" s="176">
        <f t="shared" si="2"/>
        <v>288.69687730415916</v>
      </c>
      <c r="C32" s="154">
        <v>24</v>
      </c>
      <c r="D32" s="179">
        <f t="shared" si="14"/>
        <v>0.79811531963826932</v>
      </c>
      <c r="E32" s="165">
        <f t="shared" si="4"/>
        <v>11.753669325805696</v>
      </c>
      <c r="F32" s="179">
        <f t="shared" si="5"/>
        <v>279.96702644416996</v>
      </c>
      <c r="K32" s="176">
        <f t="shared" si="0"/>
        <v>234.96355497910054</v>
      </c>
      <c r="L32" s="154">
        <v>24</v>
      </c>
      <c r="M32" s="179">
        <f t="shared" si="6"/>
        <v>1.754313693413808E-2</v>
      </c>
      <c r="N32" s="179">
        <f t="shared" si="7"/>
        <v>146.62151688401107</v>
      </c>
      <c r="P32" s="144"/>
      <c r="Q32" s="144"/>
      <c r="R32" s="144"/>
      <c r="S32" s="208"/>
      <c r="T32" s="176">
        <f t="shared" si="8"/>
        <v>290.0665315353433</v>
      </c>
      <c r="U32" s="154">
        <v>24</v>
      </c>
      <c r="V32" s="179">
        <f t="shared" si="9"/>
        <v>4.8238288131246872E-2</v>
      </c>
      <c r="W32" s="165">
        <f t="shared" si="10"/>
        <v>7.4635874844086807</v>
      </c>
      <c r="X32" s="179">
        <f t="shared" si="11"/>
        <v>159.19476117352107</v>
      </c>
      <c r="AC32" s="176">
        <f t="shared" si="12"/>
        <v>295.03429318279723</v>
      </c>
      <c r="AD32" s="154">
        <v>24</v>
      </c>
      <c r="AE32" s="179">
        <f t="shared" si="13"/>
        <v>0.10675025022790664</v>
      </c>
      <c r="AF32" s="179">
        <f t="shared" si="1"/>
        <v>166.73245668293487</v>
      </c>
    </row>
    <row r="33" spans="2:32" x14ac:dyDescent="0.2">
      <c r="B33" s="176">
        <f t="shared" si="2"/>
        <v>292.53456142473715</v>
      </c>
      <c r="C33" s="154">
        <v>25</v>
      </c>
      <c r="D33" s="179">
        <f t="shared" si="14"/>
        <v>0.85323795482671272</v>
      </c>
      <c r="E33" s="165">
        <f t="shared" si="4"/>
        <v>12.121302624381471</v>
      </c>
      <c r="F33" s="179">
        <f t="shared" si="5"/>
        <v>291.8227212162941</v>
      </c>
      <c r="K33" s="176">
        <f t="shared" si="0"/>
        <v>235.83285933109372</v>
      </c>
      <c r="L33" s="154">
        <v>25</v>
      </c>
      <c r="M33" s="179">
        <f t="shared" si="6"/>
        <v>1.9114049384222696E-2</v>
      </c>
      <c r="N33" s="179">
        <f t="shared" si="7"/>
        <v>148.33198246709355</v>
      </c>
      <c r="P33" s="144"/>
      <c r="Q33" s="144"/>
      <c r="R33" s="144"/>
      <c r="S33" s="208"/>
      <c r="T33" s="176">
        <f t="shared" si="8"/>
        <v>294.67743738586609</v>
      </c>
      <c r="U33" s="154">
        <v>25</v>
      </c>
      <c r="V33" s="179">
        <f t="shared" si="9"/>
        <v>0.10101541130636772</v>
      </c>
      <c r="W33" s="165">
        <f t="shared" si="10"/>
        <v>7.744552811983656</v>
      </c>
      <c r="X33" s="179">
        <f t="shared" si="11"/>
        <v>166.18362098887138</v>
      </c>
      <c r="AC33" s="176">
        <f t="shared" si="12"/>
        <v>297.62571107052463</v>
      </c>
      <c r="AD33" s="154">
        <v>25</v>
      </c>
      <c r="AE33" s="179">
        <f t="shared" si="13"/>
        <v>0.15750480390156923</v>
      </c>
      <c r="AF33" s="179">
        <f t="shared" si="1"/>
        <v>170.75243138481665</v>
      </c>
    </row>
    <row r="34" spans="2:32" x14ac:dyDescent="0.2">
      <c r="B34" s="176">
        <f t="shared" si="2"/>
        <v>296.13432831645895</v>
      </c>
      <c r="C34" s="154">
        <v>26</v>
      </c>
      <c r="D34" s="179">
        <f t="shared" si="14"/>
        <v>0.89302179256184122</v>
      </c>
      <c r="E34" s="165">
        <f t="shared" si="4"/>
        <v>12.472061909195313</v>
      </c>
      <c r="F34" s="179">
        <f t="shared" si="5"/>
        <v>303.25024109372583</v>
      </c>
      <c r="K34" s="176">
        <f t="shared" si="0"/>
        <v>236.59162523012134</v>
      </c>
      <c r="L34" s="154">
        <v>26</v>
      </c>
      <c r="M34" s="179">
        <f t="shared" si="6"/>
        <v>2.0597356405820375E-2</v>
      </c>
      <c r="N34" s="179">
        <f t="shared" si="7"/>
        <v>149.83602317632963</v>
      </c>
      <c r="P34" s="144"/>
      <c r="Q34" s="144"/>
      <c r="R34" s="144"/>
      <c r="S34" s="208"/>
      <c r="T34" s="176">
        <f t="shared" si="8"/>
        <v>299.10754703197404</v>
      </c>
      <c r="U34" s="154">
        <v>26</v>
      </c>
      <c r="V34" s="179">
        <f t="shared" si="9"/>
        <v>0.19449825314583008</v>
      </c>
      <c r="W34" s="165">
        <f t="shared" si="10"/>
        <v>8.02012720701223</v>
      </c>
      <c r="X34" s="179">
        <f t="shared" si="11"/>
        <v>173.07845420047428</v>
      </c>
      <c r="AC34" s="176">
        <f t="shared" si="12"/>
        <v>300.01789128300453</v>
      </c>
      <c r="AD34" s="154">
        <v>26</v>
      </c>
      <c r="AE34" s="179">
        <f t="shared" si="13"/>
        <v>0.22031145092939769</v>
      </c>
      <c r="AF34" s="179">
        <f t="shared" si="1"/>
        <v>174.51730295419</v>
      </c>
    </row>
    <row r="35" spans="2:32" x14ac:dyDescent="0.2">
      <c r="B35" s="176">
        <f t="shared" si="2"/>
        <v>299.51092765803924</v>
      </c>
      <c r="C35" s="154">
        <v>27</v>
      </c>
      <c r="D35" s="179">
        <f t="shared" si="14"/>
        <v>0.9213852162615922</v>
      </c>
      <c r="E35" s="165">
        <f t="shared" si="4"/>
        <v>12.806304316610758</v>
      </c>
      <c r="F35" s="179">
        <f t="shared" si="5"/>
        <v>314.24306624251454</v>
      </c>
      <c r="K35" s="176">
        <f t="shared" si="0"/>
        <v>237.25390845487129</v>
      </c>
      <c r="L35" s="154">
        <v>27</v>
      </c>
      <c r="M35" s="179">
        <f t="shared" si="6"/>
        <v>2.198372931559512E-2</v>
      </c>
      <c r="N35" s="179">
        <f t="shared" si="7"/>
        <v>151.15728153063696</v>
      </c>
      <c r="P35" s="144"/>
      <c r="Q35" s="144"/>
      <c r="R35" s="144"/>
      <c r="S35" s="208"/>
      <c r="T35" s="176">
        <f t="shared" si="8"/>
        <v>303.36394959424138</v>
      </c>
      <c r="U35" s="154">
        <v>27</v>
      </c>
      <c r="V35" s="179">
        <f t="shared" si="9"/>
        <v>0.33490438875620177</v>
      </c>
      <c r="W35" s="165">
        <f t="shared" si="10"/>
        <v>8.2901163851480906</v>
      </c>
      <c r="X35" s="179">
        <f t="shared" si="11"/>
        <v>179.87091487508036</v>
      </c>
      <c r="AC35" s="176">
        <f t="shared" si="12"/>
        <v>302.22615194064741</v>
      </c>
      <c r="AD35" s="154">
        <v>27</v>
      </c>
      <c r="AE35" s="179">
        <f t="shared" si="13"/>
        <v>0.29264960158951131</v>
      </c>
      <c r="AF35" s="179">
        <f t="shared" si="1"/>
        <v>178.03897333021501</v>
      </c>
    </row>
    <row r="36" spans="2:32" x14ac:dyDescent="0.2">
      <c r="B36" s="176">
        <f t="shared" si="2"/>
        <v>302.67819472185369</v>
      </c>
      <c r="C36" s="154">
        <v>28</v>
      </c>
      <c r="D36" s="179">
        <f t="shared" si="14"/>
        <v>0.94156421605792706</v>
      </c>
      <c r="E36" s="165">
        <f t="shared" si="4"/>
        <v>13.12444363930411</v>
      </c>
      <c r="F36" s="179">
        <f t="shared" si="5"/>
        <v>324.79839522303297</v>
      </c>
      <c r="K36" s="176">
        <f t="shared" si="0"/>
        <v>237.83197748821513</v>
      </c>
      <c r="L36" s="154">
        <v>28</v>
      </c>
      <c r="M36" s="179">
        <f t="shared" si="6"/>
        <v>2.3268064472474516E-2</v>
      </c>
      <c r="N36" s="179">
        <f t="shared" si="7"/>
        <v>152.31700388628846</v>
      </c>
      <c r="P36" s="144"/>
      <c r="Q36" s="144"/>
      <c r="R36" s="144"/>
      <c r="S36" s="208"/>
      <c r="T36" s="178">
        <f t="shared" si="8"/>
        <v>307.45345622484876</v>
      </c>
      <c r="U36" s="152">
        <v>28</v>
      </c>
      <c r="V36" s="180">
        <f t="shared" si="9"/>
        <v>0.50501300445849495</v>
      </c>
      <c r="W36" s="182">
        <f t="shared" si="10"/>
        <v>8.5543616050877933</v>
      </c>
      <c r="X36" s="180">
        <f t="shared" si="11"/>
        <v>186.55369869253349</v>
      </c>
      <c r="AC36" s="178">
        <f t="shared" si="12"/>
        <v>304.26463345080003</v>
      </c>
      <c r="AD36" s="152">
        <v>28</v>
      </c>
      <c r="AE36" s="180">
        <f t="shared" si="13"/>
        <v>0.37038537377619535</v>
      </c>
      <c r="AF36" s="180">
        <f t="shared" si="1"/>
        <v>181.32951190960611</v>
      </c>
    </row>
    <row r="37" spans="2:32" x14ac:dyDescent="0.2">
      <c r="B37" s="176">
        <f t="shared" si="2"/>
        <v>305.64910706256063</v>
      </c>
      <c r="C37" s="154">
        <v>29</v>
      </c>
      <c r="D37" s="179">
        <f t="shared" si="14"/>
        <v>0.95598354014997455</v>
      </c>
      <c r="E37" s="165">
        <f t="shared" si="4"/>
        <v>13.42693807534493</v>
      </c>
      <c r="F37" s="179">
        <f t="shared" si="5"/>
        <v>334.9166300784571</v>
      </c>
      <c r="K37" s="178">
        <f t="shared" si="0"/>
        <v>238.3365407850392</v>
      </c>
      <c r="L37" s="152">
        <v>29</v>
      </c>
      <c r="M37" s="180">
        <f t="shared" si="6"/>
        <v>2.4448736607050891E-2</v>
      </c>
      <c r="N37" s="180">
        <f t="shared" si="7"/>
        <v>153.33420331138487</v>
      </c>
      <c r="P37" s="144"/>
      <c r="Q37" s="144"/>
      <c r="R37" s="144"/>
      <c r="S37" s="208"/>
      <c r="T37" s="176"/>
      <c r="U37" s="154"/>
      <c r="V37" s="179"/>
      <c r="W37" s="165"/>
      <c r="X37" s="179"/>
    </row>
    <row r="38" spans="2:32" x14ac:dyDescent="0.2">
      <c r="B38" s="176">
        <f t="shared" si="2"/>
        <v>308.43583769131129</v>
      </c>
      <c r="C38" s="154">
        <v>30</v>
      </c>
      <c r="D38" s="179">
        <f t="shared" si="14"/>
        <v>0.96637332481644678</v>
      </c>
      <c r="E38" s="165">
        <f t="shared" si="4"/>
        <v>13.714279651255474</v>
      </c>
      <c r="F38" s="179">
        <f t="shared" si="5"/>
        <v>344.60090791986079</v>
      </c>
      <c r="K38" s="153"/>
      <c r="L38" s="154"/>
      <c r="M38" s="155"/>
      <c r="N38" s="179"/>
      <c r="P38" s="144"/>
      <c r="Q38" s="144"/>
      <c r="R38" s="144"/>
      <c r="S38" s="208"/>
      <c r="T38" s="176"/>
      <c r="U38" s="154"/>
      <c r="V38" s="179"/>
      <c r="W38" s="165"/>
      <c r="X38" s="179"/>
    </row>
    <row r="39" spans="2:32" x14ac:dyDescent="0.2">
      <c r="B39" s="176">
        <f t="shared" si="2"/>
        <v>311.04980495342488</v>
      </c>
      <c r="C39" s="154">
        <v>31</v>
      </c>
      <c r="D39" s="179">
        <f t="shared" si="14"/>
        <v>0.97393934123204529</v>
      </c>
      <c r="E39" s="165">
        <f t="shared" si="4"/>
        <v>13.986985131065948</v>
      </c>
      <c r="F39" s="179">
        <f t="shared" si="5"/>
        <v>353.85667772916815</v>
      </c>
      <c r="P39" s="144"/>
      <c r="Q39" s="144"/>
      <c r="R39" s="144"/>
      <c r="S39" s="208"/>
      <c r="T39" s="176"/>
      <c r="U39" s="154"/>
      <c r="V39" s="179"/>
      <c r="W39" s="165"/>
      <c r="X39" s="179"/>
    </row>
    <row r="40" spans="2:32" x14ac:dyDescent="0.2">
      <c r="B40" s="178">
        <f t="shared" si="2"/>
        <v>313.50171931389707</v>
      </c>
      <c r="C40" s="152">
        <v>32</v>
      </c>
      <c r="D40" s="180">
        <f t="shared" si="14"/>
        <v>0.97951426905736216</v>
      </c>
      <c r="E40" s="182">
        <f t="shared" si="4"/>
        <v>14.24558824016235</v>
      </c>
      <c r="F40" s="180">
        <f t="shared" si="5"/>
        <v>362.69132041809775</v>
      </c>
      <c r="P40" s="144"/>
      <c r="Q40" s="144"/>
      <c r="R40" s="144"/>
      <c r="S40" s="208"/>
      <c r="T40" s="176"/>
      <c r="U40" s="154"/>
      <c r="V40" s="179"/>
      <c r="W40" s="165"/>
      <c r="X40" s="179"/>
    </row>
    <row r="41" spans="2:32" x14ac:dyDescent="0.2">
      <c r="B41" s="156"/>
      <c r="C41" s="156"/>
      <c r="D41" s="156"/>
      <c r="E41" s="156"/>
      <c r="F41" s="156"/>
      <c r="G41" s="156"/>
      <c r="H41" s="156"/>
      <c r="P41" s="144"/>
      <c r="Q41" s="144"/>
      <c r="R41" s="144"/>
      <c r="S41" s="208"/>
      <c r="T41" s="176"/>
      <c r="U41" s="154"/>
      <c r="V41" s="179"/>
      <c r="W41" s="165"/>
      <c r="X41" s="179"/>
      <c r="Y41" s="156"/>
      <c r="Z41" s="156"/>
    </row>
    <row r="42" spans="2:32" x14ac:dyDescent="0.2">
      <c r="B42" s="156" t="s">
        <v>150</v>
      </c>
      <c r="C42" s="156"/>
      <c r="D42" s="157" t="s">
        <v>77</v>
      </c>
      <c r="E42" s="156"/>
      <c r="F42" s="156"/>
      <c r="G42" s="156"/>
      <c r="H42" s="156"/>
      <c r="I42" s="156"/>
      <c r="P42" s="144"/>
      <c r="Q42" s="144"/>
      <c r="R42" s="144"/>
      <c r="S42" s="208"/>
      <c r="T42" s="156" t="s">
        <v>150</v>
      </c>
      <c r="U42" s="156"/>
      <c r="V42" s="157" t="s">
        <v>77</v>
      </c>
      <c r="W42" s="156"/>
      <c r="X42" s="156"/>
      <c r="Y42" s="156"/>
      <c r="Z42" s="156"/>
      <c r="AA42" s="156"/>
    </row>
    <row r="43" spans="2:32" x14ac:dyDescent="0.2">
      <c r="B43" s="156" t="s">
        <v>151</v>
      </c>
      <c r="C43" s="156"/>
      <c r="D43" s="154">
        <v>3</v>
      </c>
      <c r="E43" s="156" t="s">
        <v>178</v>
      </c>
      <c r="F43" s="156"/>
      <c r="G43" s="156"/>
      <c r="H43" s="156"/>
      <c r="I43" s="156"/>
      <c r="J43" s="156"/>
      <c r="K43" s="156"/>
      <c r="T43" s="156" t="s">
        <v>151</v>
      </c>
      <c r="U43" s="156"/>
      <c r="V43" s="154">
        <v>3</v>
      </c>
      <c r="W43" s="156" t="s">
        <v>178</v>
      </c>
      <c r="X43" s="156"/>
      <c r="Y43" s="156"/>
      <c r="Z43" s="156"/>
      <c r="AA43" s="156"/>
      <c r="AB43" s="156"/>
    </row>
    <row r="44" spans="2:32" x14ac:dyDescent="0.2">
      <c r="B44" s="156" t="s">
        <v>152</v>
      </c>
      <c r="C44" s="156"/>
      <c r="D44" s="154"/>
      <c r="E44" s="156"/>
      <c r="F44" s="156"/>
      <c r="G44" s="156"/>
      <c r="H44" s="156"/>
      <c r="I44" s="156"/>
      <c r="J44" s="156"/>
      <c r="K44" s="156"/>
      <c r="T44" s="156" t="s">
        <v>152</v>
      </c>
      <c r="U44" s="156"/>
      <c r="V44" s="154"/>
      <c r="W44" s="156"/>
      <c r="X44" s="156"/>
      <c r="Y44" s="156"/>
      <c r="Z44" s="156"/>
      <c r="AA44" s="156"/>
      <c r="AB44" s="156"/>
    </row>
    <row r="45" spans="2:32" x14ac:dyDescent="0.2">
      <c r="B45" s="156" t="s">
        <v>153</v>
      </c>
      <c r="C45" s="156"/>
      <c r="D45" s="154" t="s">
        <v>162</v>
      </c>
      <c r="E45" s="156"/>
      <c r="F45" s="156"/>
      <c r="G45" s="156"/>
      <c r="H45" s="156"/>
      <c r="I45" s="156"/>
      <c r="J45" s="156"/>
      <c r="K45" s="156"/>
      <c r="T45" s="156" t="s">
        <v>153</v>
      </c>
      <c r="U45" s="156"/>
      <c r="V45" s="154" t="s">
        <v>162</v>
      </c>
      <c r="W45" s="156"/>
      <c r="X45" s="156"/>
      <c r="Y45" s="156"/>
      <c r="Z45" s="156"/>
      <c r="AA45" s="156"/>
      <c r="AB45" s="156"/>
    </row>
    <row r="46" spans="2:32" x14ac:dyDescent="0.2">
      <c r="B46" s="156" t="s">
        <v>163</v>
      </c>
      <c r="C46" s="156"/>
      <c r="D46" s="158" t="s">
        <v>164</v>
      </c>
      <c r="E46" s="159"/>
      <c r="F46" s="159"/>
      <c r="G46" s="156"/>
      <c r="K46" s="156"/>
      <c r="T46" s="156" t="s">
        <v>163</v>
      </c>
      <c r="U46" s="156"/>
      <c r="V46" s="158" t="s">
        <v>164</v>
      </c>
      <c r="W46" s="159"/>
      <c r="X46" s="159"/>
      <c r="Y46" s="156"/>
    </row>
    <row r="47" spans="2:32" ht="13.5" x14ac:dyDescent="0.2">
      <c r="B47" s="156" t="s">
        <v>157</v>
      </c>
      <c r="C47" s="156"/>
      <c r="D47" s="156" t="s">
        <v>166</v>
      </c>
      <c r="E47" s="156"/>
      <c r="F47" s="156"/>
      <c r="G47" s="156"/>
      <c r="H47" s="156"/>
      <c r="I47" s="156"/>
      <c r="J47" s="156"/>
      <c r="K47" s="156"/>
      <c r="T47" s="156" t="s">
        <v>157</v>
      </c>
      <c r="U47" s="156"/>
      <c r="V47" s="156" t="s">
        <v>216</v>
      </c>
      <c r="W47" s="156"/>
      <c r="X47" s="156"/>
      <c r="Y47" s="156"/>
      <c r="Z47" s="156"/>
      <c r="AA47" s="156"/>
      <c r="AB47" s="156"/>
    </row>
    <row r="48" spans="2:32" x14ac:dyDescent="0.2">
      <c r="B48" s="167" t="s">
        <v>167</v>
      </c>
      <c r="C48" s="168"/>
      <c r="D48" s="167"/>
      <c r="E48" s="169" t="s">
        <v>113</v>
      </c>
      <c r="F48" s="170"/>
      <c r="G48" s="156"/>
      <c r="H48" s="156"/>
      <c r="I48" s="156"/>
      <c r="J48" s="156"/>
      <c r="K48" s="156"/>
      <c r="T48" s="167" t="s">
        <v>167</v>
      </c>
      <c r="U48" s="168"/>
      <c r="V48" s="167"/>
      <c r="W48" s="169" t="s">
        <v>114</v>
      </c>
      <c r="X48" s="170"/>
      <c r="Y48" s="156"/>
      <c r="Z48" s="156"/>
      <c r="AA48" s="156"/>
      <c r="AB48" s="156"/>
    </row>
    <row r="49" spans="2:36" x14ac:dyDescent="0.2">
      <c r="H49" s="156"/>
      <c r="I49" s="156"/>
      <c r="J49" s="156"/>
      <c r="K49" s="156"/>
      <c r="Z49" s="156"/>
      <c r="AA49" s="156"/>
      <c r="AB49" s="156"/>
    </row>
    <row r="50" spans="2:36" x14ac:dyDescent="0.2">
      <c r="B50" s="143" t="s">
        <v>168</v>
      </c>
      <c r="F50" s="156"/>
      <c r="G50" s="175">
        <v>3</v>
      </c>
      <c r="H50" s="139" t="s">
        <v>176</v>
      </c>
      <c r="I50" s="138"/>
      <c r="J50" s="156"/>
      <c r="K50" s="143" t="s">
        <v>168</v>
      </c>
      <c r="O50" s="175">
        <v>2</v>
      </c>
      <c r="P50" s="139" t="s">
        <v>182</v>
      </c>
      <c r="Q50" s="138"/>
      <c r="T50" s="143" t="s">
        <v>168</v>
      </c>
      <c r="X50" s="156"/>
      <c r="Y50" s="175">
        <v>1</v>
      </c>
      <c r="Z50" s="139" t="s">
        <v>217</v>
      </c>
      <c r="AA50" s="138"/>
      <c r="AB50" s="156"/>
      <c r="AC50" s="143" t="s">
        <v>168</v>
      </c>
      <c r="AG50" s="156"/>
      <c r="AH50" s="175">
        <v>1</v>
      </c>
      <c r="AI50" s="139" t="s">
        <v>217</v>
      </c>
      <c r="AJ50" s="138"/>
    </row>
    <row r="51" spans="2:36" x14ac:dyDescent="0.2">
      <c r="B51" s="143" t="s">
        <v>165</v>
      </c>
      <c r="F51" s="156"/>
      <c r="G51" s="156"/>
      <c r="H51" s="139" t="s">
        <v>173</v>
      </c>
      <c r="I51" s="138"/>
      <c r="K51" s="143" t="s">
        <v>165</v>
      </c>
      <c r="O51" s="156"/>
      <c r="P51" s="139" t="s">
        <v>183</v>
      </c>
      <c r="Q51" s="138"/>
      <c r="T51" s="143" t="s">
        <v>219</v>
      </c>
      <c r="X51" s="156"/>
      <c r="Y51" s="156"/>
      <c r="Z51" s="139" t="s">
        <v>218</v>
      </c>
      <c r="AA51" s="138"/>
      <c r="AC51" s="143" t="s">
        <v>219</v>
      </c>
      <c r="AG51" s="156"/>
      <c r="AH51" s="156"/>
      <c r="AI51" s="139" t="s">
        <v>218</v>
      </c>
      <c r="AJ51" s="138"/>
    </row>
    <row r="52" spans="2:36" ht="13.5" x14ac:dyDescent="0.25">
      <c r="B52" s="156" t="s">
        <v>154</v>
      </c>
      <c r="C52" s="156"/>
      <c r="D52" s="164">
        <v>393.1</v>
      </c>
      <c r="E52" s="156" t="s">
        <v>155</v>
      </c>
      <c r="H52" s="139" t="s">
        <v>174</v>
      </c>
      <c r="I52" s="138"/>
      <c r="K52" s="156" t="s">
        <v>154</v>
      </c>
      <c r="L52" s="156"/>
      <c r="M52" s="164">
        <v>253.3</v>
      </c>
      <c r="N52" s="156" t="s">
        <v>155</v>
      </c>
      <c r="Q52" s="138"/>
      <c r="T52" s="156" t="s">
        <v>154</v>
      </c>
      <c r="U52" s="156"/>
      <c r="V52" s="164">
        <v>407.66</v>
      </c>
      <c r="W52" s="156" t="s">
        <v>155</v>
      </c>
      <c r="AA52" s="138"/>
      <c r="AC52" s="156" t="s">
        <v>154</v>
      </c>
      <c r="AD52" s="156"/>
      <c r="AE52" s="164">
        <v>328.74</v>
      </c>
      <c r="AF52" s="156" t="s">
        <v>155</v>
      </c>
      <c r="AJ52" s="138"/>
    </row>
    <row r="53" spans="2:36" x14ac:dyDescent="0.2">
      <c r="B53" s="156" t="s">
        <v>156</v>
      </c>
      <c r="C53" s="156"/>
      <c r="D53" s="165">
        <v>5.3999999999999999E-2</v>
      </c>
      <c r="E53" s="156"/>
      <c r="K53" s="156" t="s">
        <v>156</v>
      </c>
      <c r="L53" s="156"/>
      <c r="M53" s="165">
        <v>0.125</v>
      </c>
      <c r="N53" s="156"/>
      <c r="T53" s="156" t="s">
        <v>156</v>
      </c>
      <c r="U53" s="156"/>
      <c r="V53" s="165">
        <v>0.04</v>
      </c>
      <c r="W53" s="156"/>
      <c r="AC53" s="156" t="s">
        <v>156</v>
      </c>
      <c r="AD53" s="156"/>
      <c r="AE53" s="165">
        <v>0.08</v>
      </c>
      <c r="AF53" s="156"/>
    </row>
    <row r="54" spans="2:36" ht="13.5" x14ac:dyDescent="0.25">
      <c r="B54" s="177" t="s">
        <v>175</v>
      </c>
      <c r="C54" s="156"/>
      <c r="D54" s="164">
        <v>70</v>
      </c>
      <c r="E54" s="156"/>
      <c r="K54" s="177" t="s">
        <v>175</v>
      </c>
      <c r="L54" s="156"/>
      <c r="M54" s="164">
        <v>71.599999999999994</v>
      </c>
      <c r="N54" s="156"/>
      <c r="T54" s="177" t="s">
        <v>221</v>
      </c>
      <c r="U54" s="156"/>
      <c r="V54" s="164">
        <v>-7.08</v>
      </c>
      <c r="W54" s="156"/>
      <c r="AC54" s="177" t="s">
        <v>221</v>
      </c>
      <c r="AD54" s="156"/>
      <c r="AE54" s="164">
        <v>-4.47</v>
      </c>
      <c r="AF54" s="156"/>
    </row>
    <row r="55" spans="2:36" x14ac:dyDescent="0.2">
      <c r="B55" s="143" t="s">
        <v>169</v>
      </c>
      <c r="T55" s="143" t="s">
        <v>220</v>
      </c>
      <c r="AC55" s="143" t="s">
        <v>220</v>
      </c>
    </row>
    <row r="56" spans="2:36" ht="13.5" x14ac:dyDescent="0.25">
      <c r="B56" s="156" t="s">
        <v>154</v>
      </c>
      <c r="C56" s="156"/>
      <c r="D56" s="164">
        <v>365.6</v>
      </c>
      <c r="E56" s="156" t="s">
        <v>155</v>
      </c>
      <c r="K56" s="156"/>
      <c r="L56" s="156"/>
      <c r="M56" s="164"/>
      <c r="N56" s="156"/>
      <c r="T56" s="156" t="s">
        <v>154</v>
      </c>
      <c r="U56" s="156"/>
      <c r="V56" s="164">
        <v>580</v>
      </c>
      <c r="W56" s="156" t="s">
        <v>155</v>
      </c>
      <c r="AC56" s="156" t="s">
        <v>154</v>
      </c>
      <c r="AD56" s="156"/>
      <c r="AE56" s="164">
        <v>416</v>
      </c>
      <c r="AF56" s="156" t="s">
        <v>155</v>
      </c>
    </row>
    <row r="57" spans="2:36" x14ac:dyDescent="0.2">
      <c r="B57" s="156" t="s">
        <v>156</v>
      </c>
      <c r="C57" s="156"/>
      <c r="D57" s="165">
        <v>8.6999999999999994E-2</v>
      </c>
      <c r="E57" s="156"/>
      <c r="K57" s="156"/>
      <c r="L57" s="156"/>
      <c r="M57" s="165"/>
      <c r="N57" s="156"/>
      <c r="T57" s="156" t="s">
        <v>156</v>
      </c>
      <c r="U57" s="156"/>
      <c r="V57" s="165">
        <v>0.02</v>
      </c>
      <c r="W57" s="156"/>
      <c r="AC57" s="156" t="s">
        <v>156</v>
      </c>
      <c r="AD57" s="156"/>
      <c r="AE57" s="165">
        <v>0.03</v>
      </c>
      <c r="AF57" s="156"/>
    </row>
    <row r="58" spans="2:36" ht="13.5" x14ac:dyDescent="0.25">
      <c r="B58" s="177" t="s">
        <v>175</v>
      </c>
      <c r="C58" s="156"/>
      <c r="D58" s="164">
        <v>88.4</v>
      </c>
      <c r="E58" s="156"/>
      <c r="K58" s="177"/>
      <c r="L58" s="156"/>
      <c r="M58" s="164"/>
      <c r="N58" s="156"/>
      <c r="T58" s="177" t="s">
        <v>221</v>
      </c>
      <c r="U58" s="156"/>
      <c r="V58" s="164">
        <v>-7.52</v>
      </c>
      <c r="W58" s="156"/>
      <c r="AC58" s="177" t="s">
        <v>221</v>
      </c>
      <c r="AD58" s="156"/>
      <c r="AE58" s="164">
        <v>-6.18</v>
      </c>
      <c r="AF58" s="156"/>
    </row>
    <row r="59" spans="2:36" x14ac:dyDescent="0.2">
      <c r="B59" s="143" t="s">
        <v>170</v>
      </c>
      <c r="K59" s="143" t="s">
        <v>170</v>
      </c>
    </row>
    <row r="60" spans="2:36" ht="13.5" x14ac:dyDescent="0.25">
      <c r="B60" s="156" t="s">
        <v>154</v>
      </c>
      <c r="C60" s="156"/>
      <c r="D60" s="164">
        <v>350.6</v>
      </c>
      <c r="E60" s="156" t="s">
        <v>155</v>
      </c>
      <c r="K60" s="156" t="s">
        <v>154</v>
      </c>
      <c r="L60" s="156"/>
      <c r="M60" s="164">
        <v>241.8</v>
      </c>
      <c r="N60" s="156" t="s">
        <v>155</v>
      </c>
      <c r="T60" s="156"/>
      <c r="U60" s="156"/>
      <c r="V60" s="164"/>
      <c r="W60" s="156"/>
    </row>
    <row r="61" spans="2:36" x14ac:dyDescent="0.2">
      <c r="B61" s="156" t="s">
        <v>156</v>
      </c>
      <c r="C61" s="156"/>
      <c r="D61" s="165">
        <v>6.4000000000000001E-2</v>
      </c>
      <c r="E61" s="156"/>
      <c r="K61" s="156" t="s">
        <v>156</v>
      </c>
      <c r="L61" s="156"/>
      <c r="M61" s="165">
        <v>0.13600000000000001</v>
      </c>
      <c r="N61" s="156"/>
      <c r="T61" s="156"/>
      <c r="U61" s="156"/>
      <c r="V61" s="165"/>
      <c r="W61" s="156"/>
    </row>
    <row r="62" spans="2:36" ht="13.5" x14ac:dyDescent="0.25">
      <c r="B62" s="177" t="s">
        <v>175</v>
      </c>
      <c r="C62" s="156"/>
      <c r="D62" s="164">
        <v>63</v>
      </c>
      <c r="E62" s="156"/>
      <c r="K62" s="177" t="s">
        <v>175</v>
      </c>
      <c r="L62" s="156"/>
      <c r="M62" s="164">
        <v>63</v>
      </c>
      <c r="N62" s="156"/>
      <c r="T62" s="177"/>
      <c r="U62" s="156"/>
      <c r="V62" s="164"/>
      <c r="W62" s="156"/>
    </row>
    <row r="63" spans="2:36" x14ac:dyDescent="0.2">
      <c r="F63" s="166"/>
      <c r="X63" s="166"/>
    </row>
    <row r="64" spans="2:36" x14ac:dyDescent="0.2">
      <c r="D64" s="171" t="s">
        <v>171</v>
      </c>
      <c r="E64" s="145" t="s">
        <v>137</v>
      </c>
      <c r="M64" s="171" t="s">
        <v>171</v>
      </c>
      <c r="N64" s="145" t="s">
        <v>137</v>
      </c>
      <c r="V64" s="171" t="s">
        <v>171</v>
      </c>
      <c r="W64" s="145" t="s">
        <v>137</v>
      </c>
      <c r="AE64" s="171" t="s">
        <v>171</v>
      </c>
      <c r="AF64" s="145" t="s">
        <v>137</v>
      </c>
    </row>
    <row r="65" spans="2:32" x14ac:dyDescent="0.2">
      <c r="B65" s="160" t="s">
        <v>158</v>
      </c>
      <c r="C65" s="161" t="s">
        <v>159</v>
      </c>
      <c r="D65" s="162">
        <v>0.81</v>
      </c>
      <c r="E65" s="173">
        <v>12.5</v>
      </c>
      <c r="K65" s="160"/>
      <c r="L65" s="161"/>
      <c r="M65" s="162"/>
      <c r="N65" s="173">
        <v>12.5</v>
      </c>
      <c r="T65" s="160" t="s">
        <v>158</v>
      </c>
      <c r="U65" s="161" t="s">
        <v>159</v>
      </c>
      <c r="V65" s="162">
        <v>0.81</v>
      </c>
      <c r="W65" s="173">
        <v>12.5</v>
      </c>
      <c r="AC65" s="160"/>
      <c r="AD65" s="161"/>
      <c r="AE65" s="162"/>
      <c r="AF65" s="173">
        <v>12.5</v>
      </c>
    </row>
    <row r="66" spans="2:32" x14ac:dyDescent="0.2">
      <c r="C66" s="161" t="s">
        <v>160</v>
      </c>
      <c r="D66" s="162">
        <v>2.3460000000000001</v>
      </c>
      <c r="E66" s="163"/>
      <c r="L66" s="161"/>
      <c r="M66" s="162"/>
      <c r="N66" s="163"/>
      <c r="U66" s="161" t="s">
        <v>160</v>
      </c>
      <c r="V66" s="162">
        <v>2.3460000000000001</v>
      </c>
      <c r="W66" s="163"/>
      <c r="AD66" s="161"/>
      <c r="AE66" s="162"/>
      <c r="AF66" s="163"/>
    </row>
    <row r="67" spans="2:32" x14ac:dyDescent="0.2">
      <c r="B67" s="146" t="s">
        <v>161</v>
      </c>
      <c r="C67" s="161" t="s">
        <v>159</v>
      </c>
      <c r="D67" s="162">
        <v>-27.81</v>
      </c>
      <c r="E67" s="173" t="s">
        <v>172</v>
      </c>
      <c r="K67" s="146" t="s">
        <v>161</v>
      </c>
      <c r="L67" s="161" t="s">
        <v>159</v>
      </c>
      <c r="M67" s="162">
        <v>-27.81</v>
      </c>
      <c r="N67" s="173" t="s">
        <v>172</v>
      </c>
      <c r="T67" s="146" t="s">
        <v>161</v>
      </c>
      <c r="U67" s="161" t="s">
        <v>159</v>
      </c>
      <c r="V67" s="162">
        <v>-53.13</v>
      </c>
      <c r="W67" s="173" t="s">
        <v>172</v>
      </c>
      <c r="AC67" s="146" t="s">
        <v>161</v>
      </c>
      <c r="AD67" s="161" t="s">
        <v>159</v>
      </c>
      <c r="AE67" s="162">
        <v>-53.13</v>
      </c>
      <c r="AF67" s="173" t="s">
        <v>172</v>
      </c>
    </row>
    <row r="68" spans="2:32" x14ac:dyDescent="0.2">
      <c r="C68" s="161" t="s">
        <v>160</v>
      </c>
      <c r="D68" s="162">
        <v>9.3320000000000007</v>
      </c>
      <c r="E68" s="172">
        <f>(-D67/D68)*100</f>
        <v>298.00685812258888</v>
      </c>
      <c r="L68" s="161" t="s">
        <v>160</v>
      </c>
      <c r="M68" s="162">
        <v>9.3320000000000007</v>
      </c>
      <c r="N68" s="172">
        <f>(-M67/M68)*100</f>
        <v>298.00685812258888</v>
      </c>
      <c r="U68" s="161" t="s">
        <v>160</v>
      </c>
      <c r="V68" s="162">
        <v>19.46</v>
      </c>
      <c r="W68" s="172">
        <f>(-V67/V68)*100</f>
        <v>273.02158273381292</v>
      </c>
      <c r="AD68" s="161" t="s">
        <v>160</v>
      </c>
      <c r="AE68" s="162">
        <v>19.46</v>
      </c>
      <c r="AF68" s="172">
        <f>(-AE67/AE68)*100</f>
        <v>273.02158273381292</v>
      </c>
    </row>
    <row r="69" spans="2:32" x14ac:dyDescent="0.2">
      <c r="B69" s="146" t="s">
        <v>177</v>
      </c>
      <c r="C69" s="161" t="s">
        <v>159</v>
      </c>
      <c r="D69" s="162">
        <v>0.92859999999999998</v>
      </c>
      <c r="K69" s="146" t="s">
        <v>177</v>
      </c>
      <c r="L69" s="161" t="s">
        <v>159</v>
      </c>
      <c r="M69" s="162">
        <v>0.92859999999999998</v>
      </c>
      <c r="T69" s="146" t="s">
        <v>177</v>
      </c>
      <c r="U69" s="161" t="s">
        <v>159</v>
      </c>
      <c r="V69" s="162">
        <v>1.127</v>
      </c>
      <c r="AC69" s="146" t="s">
        <v>177</v>
      </c>
      <c r="AD69" s="161" t="s">
        <v>159</v>
      </c>
      <c r="AE69" s="162">
        <v>1.127</v>
      </c>
    </row>
    <row r="70" spans="2:32" x14ac:dyDescent="0.2">
      <c r="C70" s="161" t="s">
        <v>160</v>
      </c>
      <c r="D70" s="162">
        <v>1.7101</v>
      </c>
      <c r="L70" s="161" t="s">
        <v>160</v>
      </c>
      <c r="M70" s="162">
        <v>1.7101</v>
      </c>
      <c r="U70" s="161" t="s">
        <v>160</v>
      </c>
      <c r="V70" s="162">
        <v>0.35799999999999998</v>
      </c>
      <c r="AD70" s="161" t="s">
        <v>160</v>
      </c>
      <c r="AE70" s="162">
        <v>0.35799999999999998</v>
      </c>
    </row>
    <row r="71" spans="2:32" x14ac:dyDescent="0.2">
      <c r="B71" s="143" t="s">
        <v>181</v>
      </c>
      <c r="C71" s="161" t="s">
        <v>159</v>
      </c>
      <c r="D71" s="181">
        <v>5.2432E-6</v>
      </c>
      <c r="K71" s="143" t="s">
        <v>181</v>
      </c>
      <c r="L71" s="161" t="s">
        <v>159</v>
      </c>
      <c r="M71" s="181">
        <v>5.2432E-6</v>
      </c>
      <c r="T71" s="143" t="s">
        <v>181</v>
      </c>
      <c r="U71" s="161" t="s">
        <v>159</v>
      </c>
      <c r="V71" s="181">
        <v>3.1142000000000001E-5</v>
      </c>
      <c r="AC71" s="143" t="s">
        <v>181</v>
      </c>
      <c r="AD71" s="161" t="s">
        <v>159</v>
      </c>
      <c r="AE71" s="181">
        <v>3.1142000000000001E-5</v>
      </c>
    </row>
    <row r="72" spans="2:32" x14ac:dyDescent="0.2">
      <c r="B72" s="146"/>
      <c r="C72" s="161" t="s">
        <v>160</v>
      </c>
      <c r="D72" s="162">
        <v>3.1406999999999998</v>
      </c>
      <c r="K72" s="146"/>
      <c r="L72" s="161" t="s">
        <v>160</v>
      </c>
      <c r="M72" s="162">
        <v>3.1406999999999998</v>
      </c>
      <c r="T72" s="146"/>
      <c r="U72" s="161" t="s">
        <v>160</v>
      </c>
      <c r="V72" s="162">
        <v>2.7242999999999999</v>
      </c>
      <c r="AC72" s="146"/>
      <c r="AD72" s="161" t="s">
        <v>160</v>
      </c>
      <c r="AE72" s="162">
        <v>2.7242999999999999</v>
      </c>
    </row>
    <row r="73" spans="2:32" x14ac:dyDescent="0.2">
      <c r="B73" s="146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6145" r:id="rId4">
          <objectPr defaultSize="0" autoPict="0" r:id="rId5">
            <anchor moveWithCells="1" sizeWithCells="1">
              <from>
                <xdr:col>1</xdr:col>
                <xdr:colOff>314325</xdr:colOff>
                <xdr:row>72</xdr:row>
                <xdr:rowOff>123825</xdr:rowOff>
              </from>
              <to>
                <xdr:col>4</xdr:col>
                <xdr:colOff>609600</xdr:colOff>
                <xdr:row>76</xdr:row>
                <xdr:rowOff>95250</xdr:rowOff>
              </to>
            </anchor>
          </objectPr>
        </oleObject>
      </mc:Choice>
      <mc:Fallback>
        <oleObject progId="Equation.DSMT4" shapeId="6145" r:id="rId4"/>
      </mc:Fallback>
    </mc:AlternateContent>
    <mc:AlternateContent xmlns:mc="http://schemas.openxmlformats.org/markup-compatibility/2006">
      <mc:Choice Requires="x14">
        <oleObject progId="Equation.DSMT4" shapeId="6146" r:id="rId6">
          <objectPr defaultSize="0" autoPict="0" r:id="rId7">
            <anchor moveWithCells="1" sizeWithCells="1">
              <from>
                <xdr:col>5</xdr:col>
                <xdr:colOff>247650</xdr:colOff>
                <xdr:row>59</xdr:row>
                <xdr:rowOff>123825</xdr:rowOff>
              </from>
              <to>
                <xdr:col>9</xdr:col>
                <xdr:colOff>0</xdr:colOff>
                <xdr:row>62</xdr:row>
                <xdr:rowOff>28575</xdr:rowOff>
              </to>
            </anchor>
          </objectPr>
        </oleObject>
      </mc:Choice>
      <mc:Fallback>
        <oleObject progId="Equation.DSMT4" shapeId="6146" r:id="rId6"/>
      </mc:Fallback>
    </mc:AlternateContent>
    <mc:AlternateContent xmlns:mc="http://schemas.openxmlformats.org/markup-compatibility/2006">
      <mc:Choice Requires="x14">
        <oleObject progId="Equation.DSMT4" shapeId="6147" r:id="rId8">
          <objectPr defaultSize="0" autoPict="0" r:id="rId9">
            <anchor moveWithCells="1" sizeWithCells="1">
              <from>
                <xdr:col>5</xdr:col>
                <xdr:colOff>247650</xdr:colOff>
                <xdr:row>53</xdr:row>
                <xdr:rowOff>9525</xdr:rowOff>
              </from>
              <to>
                <xdr:col>8</xdr:col>
                <xdr:colOff>581025</xdr:colOff>
                <xdr:row>58</xdr:row>
                <xdr:rowOff>114300</xdr:rowOff>
              </to>
            </anchor>
          </objectPr>
        </oleObject>
      </mc:Choice>
      <mc:Fallback>
        <oleObject progId="Equation.DSMT4" shapeId="6147" r:id="rId8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9"/>
  <sheetViews>
    <sheetView topLeftCell="C2" workbookViewId="0">
      <selection activeCell="AB16" sqref="AB16"/>
    </sheetView>
  </sheetViews>
  <sheetFormatPr defaultRowHeight="12.75" x14ac:dyDescent="0.2"/>
  <cols>
    <col min="1" max="1" width="9.140625" style="1"/>
    <col min="2" max="2" width="10.5703125" style="1" customWidth="1"/>
    <col min="3" max="3" width="12.85546875" style="1" customWidth="1"/>
    <col min="4" max="4" width="11" style="1" customWidth="1"/>
    <col min="5" max="5" width="12.42578125" style="1" customWidth="1"/>
    <col min="6" max="6" width="12.140625" style="1" customWidth="1"/>
    <col min="7" max="7" width="12.5703125" style="1" customWidth="1"/>
    <col min="8" max="8" width="9.140625" style="1"/>
    <col min="9" max="9" width="7.28515625" style="1" customWidth="1"/>
    <col min="10" max="21" width="9.140625" style="1"/>
    <col min="22" max="22" width="13.5703125" style="1" customWidth="1"/>
    <col min="23" max="23" width="11.5703125" style="1" customWidth="1"/>
    <col min="24" max="260" width="9.140625" style="1"/>
    <col min="261" max="261" width="12.42578125" style="1" customWidth="1"/>
    <col min="262" max="516" width="9.140625" style="1"/>
    <col min="517" max="517" width="12.42578125" style="1" customWidth="1"/>
    <col min="518" max="772" width="9.140625" style="1"/>
    <col min="773" max="773" width="12.42578125" style="1" customWidth="1"/>
    <col min="774" max="1028" width="9.140625" style="1"/>
    <col min="1029" max="1029" width="12.42578125" style="1" customWidth="1"/>
    <col min="1030" max="1284" width="9.140625" style="1"/>
    <col min="1285" max="1285" width="12.42578125" style="1" customWidth="1"/>
    <col min="1286" max="1540" width="9.140625" style="1"/>
    <col min="1541" max="1541" width="12.42578125" style="1" customWidth="1"/>
    <col min="1542" max="1796" width="9.140625" style="1"/>
    <col min="1797" max="1797" width="12.42578125" style="1" customWidth="1"/>
    <col min="1798" max="2052" width="9.140625" style="1"/>
    <col min="2053" max="2053" width="12.42578125" style="1" customWidth="1"/>
    <col min="2054" max="2308" width="9.140625" style="1"/>
    <col min="2309" max="2309" width="12.42578125" style="1" customWidth="1"/>
    <col min="2310" max="2564" width="9.140625" style="1"/>
    <col min="2565" max="2565" width="12.42578125" style="1" customWidth="1"/>
    <col min="2566" max="2820" width="9.140625" style="1"/>
    <col min="2821" max="2821" width="12.42578125" style="1" customWidth="1"/>
    <col min="2822" max="3076" width="9.140625" style="1"/>
    <col min="3077" max="3077" width="12.42578125" style="1" customWidth="1"/>
    <col min="3078" max="3332" width="9.140625" style="1"/>
    <col min="3333" max="3333" width="12.42578125" style="1" customWidth="1"/>
    <col min="3334" max="3588" width="9.140625" style="1"/>
    <col min="3589" max="3589" width="12.42578125" style="1" customWidth="1"/>
    <col min="3590" max="3844" width="9.140625" style="1"/>
    <col min="3845" max="3845" width="12.42578125" style="1" customWidth="1"/>
    <col min="3846" max="4100" width="9.140625" style="1"/>
    <col min="4101" max="4101" width="12.42578125" style="1" customWidth="1"/>
    <col min="4102" max="4356" width="9.140625" style="1"/>
    <col min="4357" max="4357" width="12.42578125" style="1" customWidth="1"/>
    <col min="4358" max="4612" width="9.140625" style="1"/>
    <col min="4613" max="4613" width="12.42578125" style="1" customWidth="1"/>
    <col min="4614" max="4868" width="9.140625" style="1"/>
    <col min="4869" max="4869" width="12.42578125" style="1" customWidth="1"/>
    <col min="4870" max="5124" width="9.140625" style="1"/>
    <col min="5125" max="5125" width="12.42578125" style="1" customWidth="1"/>
    <col min="5126" max="5380" width="9.140625" style="1"/>
    <col min="5381" max="5381" width="12.42578125" style="1" customWidth="1"/>
    <col min="5382" max="5636" width="9.140625" style="1"/>
    <col min="5637" max="5637" width="12.42578125" style="1" customWidth="1"/>
    <col min="5638" max="5892" width="9.140625" style="1"/>
    <col min="5893" max="5893" width="12.42578125" style="1" customWidth="1"/>
    <col min="5894" max="6148" width="9.140625" style="1"/>
    <col min="6149" max="6149" width="12.42578125" style="1" customWidth="1"/>
    <col min="6150" max="6404" width="9.140625" style="1"/>
    <col min="6405" max="6405" width="12.42578125" style="1" customWidth="1"/>
    <col min="6406" max="6660" width="9.140625" style="1"/>
    <col min="6661" max="6661" width="12.42578125" style="1" customWidth="1"/>
    <col min="6662" max="6916" width="9.140625" style="1"/>
    <col min="6917" max="6917" width="12.42578125" style="1" customWidth="1"/>
    <col min="6918" max="7172" width="9.140625" style="1"/>
    <col min="7173" max="7173" width="12.42578125" style="1" customWidth="1"/>
    <col min="7174" max="7428" width="9.140625" style="1"/>
    <col min="7429" max="7429" width="12.42578125" style="1" customWidth="1"/>
    <col min="7430" max="7684" width="9.140625" style="1"/>
    <col min="7685" max="7685" width="12.42578125" style="1" customWidth="1"/>
    <col min="7686" max="7940" width="9.140625" style="1"/>
    <col min="7941" max="7941" width="12.42578125" style="1" customWidth="1"/>
    <col min="7942" max="8196" width="9.140625" style="1"/>
    <col min="8197" max="8197" width="12.42578125" style="1" customWidth="1"/>
    <col min="8198" max="8452" width="9.140625" style="1"/>
    <col min="8453" max="8453" width="12.42578125" style="1" customWidth="1"/>
    <col min="8454" max="8708" width="9.140625" style="1"/>
    <col min="8709" max="8709" width="12.42578125" style="1" customWidth="1"/>
    <col min="8710" max="8964" width="9.140625" style="1"/>
    <col min="8965" max="8965" width="12.42578125" style="1" customWidth="1"/>
    <col min="8966" max="9220" width="9.140625" style="1"/>
    <col min="9221" max="9221" width="12.42578125" style="1" customWidth="1"/>
    <col min="9222" max="9476" width="9.140625" style="1"/>
    <col min="9477" max="9477" width="12.42578125" style="1" customWidth="1"/>
    <col min="9478" max="9732" width="9.140625" style="1"/>
    <col min="9733" max="9733" width="12.42578125" style="1" customWidth="1"/>
    <col min="9734" max="9988" width="9.140625" style="1"/>
    <col min="9989" max="9989" width="12.42578125" style="1" customWidth="1"/>
    <col min="9990" max="10244" width="9.140625" style="1"/>
    <col min="10245" max="10245" width="12.42578125" style="1" customWidth="1"/>
    <col min="10246" max="10500" width="9.140625" style="1"/>
    <col min="10501" max="10501" width="12.42578125" style="1" customWidth="1"/>
    <col min="10502" max="10756" width="9.140625" style="1"/>
    <col min="10757" max="10757" width="12.42578125" style="1" customWidth="1"/>
    <col min="10758" max="11012" width="9.140625" style="1"/>
    <col min="11013" max="11013" width="12.42578125" style="1" customWidth="1"/>
    <col min="11014" max="11268" width="9.140625" style="1"/>
    <col min="11269" max="11269" width="12.42578125" style="1" customWidth="1"/>
    <col min="11270" max="11524" width="9.140625" style="1"/>
    <col min="11525" max="11525" width="12.42578125" style="1" customWidth="1"/>
    <col min="11526" max="11780" width="9.140625" style="1"/>
    <col min="11781" max="11781" width="12.42578125" style="1" customWidth="1"/>
    <col min="11782" max="12036" width="9.140625" style="1"/>
    <col min="12037" max="12037" width="12.42578125" style="1" customWidth="1"/>
    <col min="12038" max="12292" width="9.140625" style="1"/>
    <col min="12293" max="12293" width="12.42578125" style="1" customWidth="1"/>
    <col min="12294" max="12548" width="9.140625" style="1"/>
    <col min="12549" max="12549" width="12.42578125" style="1" customWidth="1"/>
    <col min="12550" max="12804" width="9.140625" style="1"/>
    <col min="12805" max="12805" width="12.42578125" style="1" customWidth="1"/>
    <col min="12806" max="13060" width="9.140625" style="1"/>
    <col min="13061" max="13061" width="12.42578125" style="1" customWidth="1"/>
    <col min="13062" max="13316" width="9.140625" style="1"/>
    <col min="13317" max="13317" width="12.42578125" style="1" customWidth="1"/>
    <col min="13318" max="13572" width="9.140625" style="1"/>
    <col min="13573" max="13573" width="12.42578125" style="1" customWidth="1"/>
    <col min="13574" max="13828" width="9.140625" style="1"/>
    <col min="13829" max="13829" width="12.42578125" style="1" customWidth="1"/>
    <col min="13830" max="14084" width="9.140625" style="1"/>
    <col min="14085" max="14085" width="12.42578125" style="1" customWidth="1"/>
    <col min="14086" max="14340" width="9.140625" style="1"/>
    <col min="14341" max="14341" width="12.42578125" style="1" customWidth="1"/>
    <col min="14342" max="14596" width="9.140625" style="1"/>
    <col min="14597" max="14597" width="12.42578125" style="1" customWidth="1"/>
    <col min="14598" max="14852" width="9.140625" style="1"/>
    <col min="14853" max="14853" width="12.42578125" style="1" customWidth="1"/>
    <col min="14854" max="15108" width="9.140625" style="1"/>
    <col min="15109" max="15109" width="12.42578125" style="1" customWidth="1"/>
    <col min="15110" max="15364" width="9.140625" style="1"/>
    <col min="15365" max="15365" width="12.42578125" style="1" customWidth="1"/>
    <col min="15366" max="15620" width="9.140625" style="1"/>
    <col min="15621" max="15621" width="12.42578125" style="1" customWidth="1"/>
    <col min="15622" max="15876" width="9.140625" style="1"/>
    <col min="15877" max="15877" width="12.42578125" style="1" customWidth="1"/>
    <col min="15878" max="16132" width="9.140625" style="1"/>
    <col min="16133" max="16133" width="12.42578125" style="1" customWidth="1"/>
    <col min="16134" max="16384" width="9.140625" style="1"/>
  </cols>
  <sheetData>
    <row r="1" spans="1:27" ht="15" x14ac:dyDescent="0.2">
      <c r="C1" s="174" t="s">
        <v>49</v>
      </c>
    </row>
    <row r="2" spans="1:27" x14ac:dyDescent="0.2">
      <c r="W2" s="33" t="s">
        <v>196</v>
      </c>
    </row>
    <row r="3" spans="1:27" x14ac:dyDescent="0.2">
      <c r="A3" s="34" t="s">
        <v>147</v>
      </c>
      <c r="B3" s="34" t="s">
        <v>197</v>
      </c>
      <c r="C3" s="34" t="s">
        <v>200</v>
      </c>
      <c r="D3" s="34" t="s">
        <v>201</v>
      </c>
      <c r="E3" s="34" t="s">
        <v>202</v>
      </c>
      <c r="F3" s="34" t="s">
        <v>203</v>
      </c>
      <c r="G3" s="34" t="s">
        <v>204</v>
      </c>
      <c r="W3" s="1" t="s">
        <v>195</v>
      </c>
    </row>
    <row r="4" spans="1:27" x14ac:dyDescent="0.2">
      <c r="A4" s="192">
        <v>0</v>
      </c>
      <c r="B4" s="7">
        <v>0.1</v>
      </c>
      <c r="C4" s="194">
        <v>6.8105822993048015E-2</v>
      </c>
      <c r="D4" s="194">
        <v>0.14528843280382456</v>
      </c>
      <c r="E4" s="194">
        <v>9.8761263745903563E-2</v>
      </c>
      <c r="F4" s="194">
        <v>8.0058932030593388E-2</v>
      </c>
      <c r="G4" s="194">
        <v>0.15690224857817242</v>
      </c>
      <c r="W4" s="1" t="s">
        <v>193</v>
      </c>
    </row>
    <row r="5" spans="1:27" x14ac:dyDescent="0.2">
      <c r="A5" s="192">
        <v>1</v>
      </c>
      <c r="B5" s="7">
        <v>0.1</v>
      </c>
      <c r="C5" s="194">
        <v>6.8105822993048015E-2</v>
      </c>
      <c r="D5" s="194">
        <v>0.14528843280382456</v>
      </c>
      <c r="E5" s="194">
        <v>9.8761263745903563E-2</v>
      </c>
      <c r="F5" s="194">
        <v>8.0058932030593388E-2</v>
      </c>
      <c r="G5" s="194">
        <v>0.15690224857817242</v>
      </c>
      <c r="W5" s="1" t="s">
        <v>199</v>
      </c>
    </row>
    <row r="6" spans="1:27" x14ac:dyDescent="0.2">
      <c r="A6" s="192">
        <v>2</v>
      </c>
      <c r="B6" s="7">
        <v>0.1</v>
      </c>
      <c r="C6" s="194">
        <v>6.8105822993048015E-2</v>
      </c>
      <c r="D6" s="194">
        <v>0.14528843280382456</v>
      </c>
      <c r="E6" s="194">
        <v>9.8761263745903563E-2</v>
      </c>
      <c r="F6" s="194">
        <v>8.0058932030593388E-2</v>
      </c>
      <c r="G6" s="194">
        <v>0.15690224857817242</v>
      </c>
      <c r="V6" s="4" t="s">
        <v>194</v>
      </c>
      <c r="W6" s="4"/>
      <c r="X6" s="4"/>
      <c r="Y6" s="4"/>
      <c r="Z6" s="4"/>
      <c r="AA6" s="4"/>
    </row>
    <row r="7" spans="1:27" x14ac:dyDescent="0.2">
      <c r="A7" s="192">
        <v>3</v>
      </c>
      <c r="B7" s="7">
        <v>0.1</v>
      </c>
      <c r="C7" s="194">
        <v>6.8105822993048015E-2</v>
      </c>
      <c r="D7" s="194">
        <v>0.14528843280382456</v>
      </c>
      <c r="E7" s="194">
        <v>9.8761263745903563E-2</v>
      </c>
      <c r="F7" s="194">
        <v>8.0058932030593388E-2</v>
      </c>
      <c r="G7" s="194">
        <v>0.15690224857817242</v>
      </c>
      <c r="U7" s="126"/>
      <c r="V7" s="128" t="s">
        <v>129</v>
      </c>
      <c r="W7" s="126"/>
      <c r="X7" s="126"/>
      <c r="Y7" s="126"/>
    </row>
    <row r="8" spans="1:27" x14ac:dyDescent="0.2">
      <c r="A8" s="192">
        <v>4</v>
      </c>
      <c r="B8" s="7">
        <v>0.1</v>
      </c>
      <c r="C8" s="194">
        <v>6.8105822993048015E-2</v>
      </c>
      <c r="D8" s="194">
        <v>0.14483167409822129</v>
      </c>
      <c r="E8" s="194">
        <v>9.8761263745903563E-2</v>
      </c>
      <c r="F8" s="194">
        <v>8.0058932030593388E-2</v>
      </c>
      <c r="G8" s="194">
        <v>0.14899502153246938</v>
      </c>
      <c r="U8" s="129" t="s">
        <v>130</v>
      </c>
      <c r="V8" s="130" t="s">
        <v>131</v>
      </c>
      <c r="W8" s="129" t="s">
        <v>132</v>
      </c>
      <c r="X8" s="129" t="s">
        <v>133</v>
      </c>
      <c r="Y8" s="129" t="s">
        <v>134</v>
      </c>
    </row>
    <row r="9" spans="1:27" x14ac:dyDescent="0.2">
      <c r="A9" s="192">
        <v>5</v>
      </c>
      <c r="B9" s="7">
        <v>0.1</v>
      </c>
      <c r="C9" s="194">
        <v>6.8105822993048015E-2</v>
      </c>
      <c r="D9" s="194">
        <v>0.13530739713400569</v>
      </c>
      <c r="E9" s="194">
        <v>9.8761263745903563E-2</v>
      </c>
      <c r="F9" s="194">
        <v>8.0058932030593388E-2</v>
      </c>
      <c r="G9" s="194">
        <v>0.13868659136580269</v>
      </c>
      <c r="U9" s="184">
        <v>4</v>
      </c>
      <c r="V9" s="185" t="s">
        <v>139</v>
      </c>
      <c r="W9" s="184" t="s">
        <v>136</v>
      </c>
      <c r="X9" s="184">
        <v>3.1E-2</v>
      </c>
      <c r="Y9" s="184">
        <v>0.34499999999999997</v>
      </c>
    </row>
    <row r="10" spans="1:27" x14ac:dyDescent="0.2">
      <c r="A10" s="192">
        <v>6</v>
      </c>
      <c r="B10" s="7">
        <v>0.1</v>
      </c>
      <c r="C10" s="194">
        <v>6.8105822993048015E-2</v>
      </c>
      <c r="D10" s="194">
        <v>0.12800305707817008</v>
      </c>
      <c r="E10" s="194">
        <v>9.8761263745903563E-2</v>
      </c>
      <c r="F10" s="194">
        <v>8.0058932030593388E-2</v>
      </c>
      <c r="G10" s="194">
        <v>0.13091884036685997</v>
      </c>
      <c r="V10" s="37" t="s">
        <v>192</v>
      </c>
      <c r="W10" s="37" t="s">
        <v>191</v>
      </c>
      <c r="X10" s="37" t="s">
        <v>190</v>
      </c>
      <c r="Y10" s="191" t="s">
        <v>159</v>
      </c>
      <c r="Z10" s="37" t="s">
        <v>134</v>
      </c>
    </row>
    <row r="11" spans="1:27" x14ac:dyDescent="0.2">
      <c r="A11" s="192">
        <v>7</v>
      </c>
      <c r="B11" s="7">
        <v>0.1</v>
      </c>
      <c r="C11" s="194">
        <v>6.8105822993048015E-2</v>
      </c>
      <c r="D11" s="194">
        <v>0.122258738058969</v>
      </c>
      <c r="E11" s="194">
        <v>9.8761263745903563E-2</v>
      </c>
      <c r="F11" s="194">
        <v>8.0058932030593388E-2</v>
      </c>
      <c r="G11" s="194">
        <v>0.12489949759404696</v>
      </c>
      <c r="U11" s="1" t="s">
        <v>189</v>
      </c>
      <c r="V11" s="14">
        <v>0.90915825980400189</v>
      </c>
      <c r="W11" s="14">
        <v>1.6741547995367215E-2</v>
      </c>
      <c r="X11" s="14">
        <v>1.5131748986440963</v>
      </c>
      <c r="Y11" s="14">
        <v>1.3740417359331822</v>
      </c>
      <c r="Z11" s="14">
        <v>0.25285178570471439</v>
      </c>
    </row>
    <row r="12" spans="1:27" x14ac:dyDescent="0.2">
      <c r="A12" s="192">
        <v>8</v>
      </c>
      <c r="B12" s="7">
        <v>0.1</v>
      </c>
      <c r="C12" s="194">
        <v>6.8105822993048015E-2</v>
      </c>
      <c r="D12" s="194">
        <v>0.11765266471812712</v>
      </c>
      <c r="E12" s="194">
        <v>9.8761263745903563E-2</v>
      </c>
      <c r="F12" s="194">
        <v>8.0058932030593388E-2</v>
      </c>
      <c r="G12" s="194">
        <v>0.12013462105740659</v>
      </c>
      <c r="U12" s="1" t="s">
        <v>188</v>
      </c>
      <c r="V12" s="14">
        <v>0.91371982575639132</v>
      </c>
      <c r="W12" s="14">
        <v>1.7063975648618453E-2</v>
      </c>
      <c r="X12" s="14">
        <v>1.3358033899966291</v>
      </c>
      <c r="Y12" s="14">
        <v>1.2213766789455249</v>
      </c>
      <c r="Z12" s="14">
        <v>0.23391721183821479</v>
      </c>
    </row>
    <row r="13" spans="1:27" x14ac:dyDescent="0.2">
      <c r="A13" s="192">
        <v>9</v>
      </c>
      <c r="B13" s="7">
        <v>0.1</v>
      </c>
      <c r="C13" s="194">
        <v>6.8105822993048015E-2</v>
      </c>
      <c r="D13" s="194">
        <v>0.11390211989115011</v>
      </c>
      <c r="E13" s="194">
        <v>9.8761263745903563E-2</v>
      </c>
      <c r="F13" s="194">
        <v>8.0058932030593388E-2</v>
      </c>
      <c r="G13" s="194">
        <v>0.11629956479054855</v>
      </c>
      <c r="U13" s="1" t="s">
        <v>187</v>
      </c>
      <c r="V13" s="14">
        <v>7.120261347974105E-2</v>
      </c>
      <c r="W13" s="14">
        <v>1.299445422123011E-2</v>
      </c>
      <c r="X13" s="14">
        <v>0.59669785664239006</v>
      </c>
      <c r="Y13" s="14">
        <v>0.55907594309755193</v>
      </c>
      <c r="Z13" s="14">
        <v>6.32948004323165E-2</v>
      </c>
    </row>
    <row r="14" spans="1:27" x14ac:dyDescent="0.2">
      <c r="A14" s="192">
        <v>10</v>
      </c>
      <c r="B14" s="7">
        <v>0.1</v>
      </c>
      <c r="C14" s="194">
        <v>6.8105822993048015E-2</v>
      </c>
      <c r="D14" s="194">
        <v>0.11081019486117499</v>
      </c>
      <c r="E14" s="194">
        <v>9.8761263745903563E-2</v>
      </c>
      <c r="F14" s="194">
        <v>8.0058932030593388E-2</v>
      </c>
      <c r="G14" s="194">
        <v>0.11317180076816616</v>
      </c>
      <c r="U14" s="1" t="s">
        <v>186</v>
      </c>
      <c r="V14" s="14">
        <v>0.75254159373295881</v>
      </c>
      <c r="W14" s="14">
        <v>0</v>
      </c>
      <c r="X14" s="14">
        <v>1</v>
      </c>
      <c r="Y14" s="14">
        <v>0.81788952355668398</v>
      </c>
      <c r="Z14" s="14">
        <v>0.2</v>
      </c>
    </row>
    <row r="15" spans="1:27" x14ac:dyDescent="0.2">
      <c r="A15" s="192">
        <v>11</v>
      </c>
      <c r="B15" s="7">
        <v>0.1</v>
      </c>
      <c r="C15" s="194">
        <v>6.8105822993048015E-2</v>
      </c>
      <c r="D15" s="194">
        <v>0.10823535675823368</v>
      </c>
      <c r="E15" s="194">
        <v>9.8761263745903563E-2</v>
      </c>
      <c r="F15" s="194">
        <v>8.0058932030593388E-2</v>
      </c>
      <c r="G15" s="194">
        <v>0.11059349210886345</v>
      </c>
      <c r="U15" s="1" t="s">
        <v>185</v>
      </c>
      <c r="V15" s="14">
        <v>0.99</v>
      </c>
      <c r="W15" s="14">
        <v>4.2598226380298081E-2</v>
      </c>
      <c r="X15" s="14">
        <v>3.2700709449098442</v>
      </c>
      <c r="Y15" s="14">
        <v>2.9277935175972423</v>
      </c>
      <c r="Z15" s="14">
        <v>0.42248818130906224</v>
      </c>
    </row>
    <row r="16" spans="1:27" x14ac:dyDescent="0.2">
      <c r="A16" s="192">
        <v>12</v>
      </c>
      <c r="B16" s="7">
        <v>0.1</v>
      </c>
      <c r="C16" s="194">
        <v>6.8105822993048015E-2</v>
      </c>
      <c r="D16" s="194">
        <v>0.10607316172072709</v>
      </c>
      <c r="E16" s="194">
        <v>9.8761263745903563E-2</v>
      </c>
      <c r="F16" s="194">
        <v>8.0058932030593388E-2</v>
      </c>
      <c r="G16" s="194">
        <v>0.10844946912857531</v>
      </c>
    </row>
    <row r="17" spans="1:25" x14ac:dyDescent="0.2">
      <c r="A17" s="192">
        <v>13</v>
      </c>
      <c r="B17" s="7">
        <v>0.1</v>
      </c>
      <c r="C17" s="194">
        <v>6.8105822993048015E-2</v>
      </c>
      <c r="D17" s="194">
        <v>0.10424479796033276</v>
      </c>
      <c r="E17" s="194">
        <v>9.8761263745903563E-2</v>
      </c>
      <c r="F17" s="194">
        <v>8.0058932030593388E-2</v>
      </c>
      <c r="G17" s="194">
        <v>0.10665367035800929</v>
      </c>
    </row>
    <row r="18" spans="1:25" ht="15" x14ac:dyDescent="0.2">
      <c r="A18" s="192">
        <v>14</v>
      </c>
      <c r="B18" s="7">
        <v>0.1</v>
      </c>
      <c r="C18" s="194">
        <v>6.8105822993048015E-2</v>
      </c>
      <c r="D18" s="194">
        <v>0.10268964963606167</v>
      </c>
      <c r="E18" s="194">
        <v>9.5896879944397592E-2</v>
      </c>
      <c r="F18" s="194">
        <v>8.0058932030593388E-2</v>
      </c>
      <c r="G18" s="194">
        <v>0.10514047167749538</v>
      </c>
      <c r="V18" s="174" t="s">
        <v>49</v>
      </c>
    </row>
    <row r="19" spans="1:25" x14ac:dyDescent="0.2">
      <c r="A19" s="192">
        <v>15</v>
      </c>
      <c r="B19" s="7">
        <v>0.1</v>
      </c>
      <c r="C19" s="194">
        <v>6.8105822993048015E-2</v>
      </c>
      <c r="D19" s="194">
        <v>0.10136032174405535</v>
      </c>
      <c r="E19" s="194">
        <v>9.2733279954026082E-2</v>
      </c>
      <c r="F19" s="194">
        <v>8.0058932030593388E-2</v>
      </c>
      <c r="G19" s="194">
        <v>0.10385895842203634</v>
      </c>
    </row>
    <row r="20" spans="1:25" x14ac:dyDescent="0.2">
      <c r="A20" s="192">
        <v>16</v>
      </c>
      <c r="B20" s="7">
        <v>0.1</v>
      </c>
      <c r="C20" s="194">
        <v>6.8105822993048015E-2</v>
      </c>
      <c r="D20" s="194">
        <v>0.10021922260620668</v>
      </c>
      <c r="E20" s="194">
        <v>8.992504916353404E-2</v>
      </c>
      <c r="F20" s="194">
        <v>8.0058932030593388E-2</v>
      </c>
      <c r="G20" s="194">
        <v>0.10276903377818514</v>
      </c>
      <c r="U20" s="189"/>
      <c r="V20" s="190" t="s">
        <v>128</v>
      </c>
      <c r="W20" s="190"/>
      <c r="X20" s="189"/>
      <c r="Y20" s="189"/>
    </row>
    <row r="21" spans="1:25" x14ac:dyDescent="0.2">
      <c r="A21" s="192">
        <v>17</v>
      </c>
      <c r="B21" s="7">
        <v>0.1</v>
      </c>
      <c r="C21" s="194">
        <v>6.8105822993048015E-2</v>
      </c>
      <c r="D21" s="194">
        <v>9.923616131495018E-2</v>
      </c>
      <c r="E21" s="194">
        <v>8.7425579366535347E-2</v>
      </c>
      <c r="F21" s="194">
        <v>8.0058932030593388E-2</v>
      </c>
      <c r="G21" s="194">
        <v>0.10183870895443023</v>
      </c>
      <c r="U21" s="126"/>
      <c r="V21" s="128" t="s">
        <v>129</v>
      </c>
      <c r="W21" s="126"/>
      <c r="X21" s="126"/>
      <c r="Y21" s="126"/>
    </row>
    <row r="22" spans="1:25" x14ac:dyDescent="0.2">
      <c r="A22" s="192">
        <v>18</v>
      </c>
      <c r="B22" s="7">
        <v>0.1</v>
      </c>
      <c r="C22" s="194">
        <v>6.8105822993048015E-2</v>
      </c>
      <c r="D22" s="194">
        <v>9.8351470342031552E-2</v>
      </c>
      <c r="E22" s="194">
        <v>8.5195451119942742E-2</v>
      </c>
      <c r="F22" s="194">
        <v>8.0058932030593388E-2</v>
      </c>
      <c r="G22" s="194">
        <v>0.10104217478351475</v>
      </c>
      <c r="U22" s="129" t="s">
        <v>130</v>
      </c>
      <c r="V22" s="130" t="s">
        <v>131</v>
      </c>
      <c r="W22" s="129" t="s">
        <v>132</v>
      </c>
      <c r="X22" s="129" t="s">
        <v>133</v>
      </c>
      <c r="Y22" s="129" t="s">
        <v>134</v>
      </c>
    </row>
    <row r="23" spans="1:25" x14ac:dyDescent="0.2">
      <c r="A23" s="192">
        <v>19</v>
      </c>
      <c r="B23" s="7">
        <v>0.1</v>
      </c>
      <c r="C23" s="194">
        <v>6.8105822993048015E-2</v>
      </c>
      <c r="D23" s="194">
        <v>9.7454475475651697E-2</v>
      </c>
      <c r="E23" s="194">
        <v>8.3201154715274117E-2</v>
      </c>
      <c r="F23" s="194">
        <v>8.0058932030593388E-2</v>
      </c>
      <c r="G23" s="194">
        <v>0.10035840255739974</v>
      </c>
      <c r="U23" s="184">
        <v>4</v>
      </c>
      <c r="V23" s="184" t="s">
        <v>135</v>
      </c>
      <c r="W23" s="184" t="s">
        <v>136</v>
      </c>
      <c r="X23" s="183">
        <v>0.06</v>
      </c>
      <c r="Y23" s="184">
        <v>0.51900000000000002</v>
      </c>
    </row>
    <row r="24" spans="1:25" x14ac:dyDescent="0.2">
      <c r="A24" s="192">
        <v>20</v>
      </c>
      <c r="B24" s="7">
        <v>0.1</v>
      </c>
      <c r="C24" s="194">
        <v>6.8105822993048015E-2</v>
      </c>
      <c r="D24" s="194">
        <v>9.6676653750748229E-2</v>
      </c>
      <c r="E24" s="194">
        <v>8.1414066522903977E-2</v>
      </c>
      <c r="F24" s="194">
        <v>8.0058932030593388E-2</v>
      </c>
      <c r="G24" s="194">
        <v>9.977011102401466E-2</v>
      </c>
      <c r="U24" s="188">
        <v>4</v>
      </c>
      <c r="V24" s="188" t="s">
        <v>135</v>
      </c>
      <c r="W24" s="188" t="s">
        <v>137</v>
      </c>
      <c r="X24" s="188">
        <v>5.8000000000000003E-2</v>
      </c>
      <c r="Y24" s="188">
        <v>0.49399999999999999</v>
      </c>
    </row>
    <row r="25" spans="1:25" x14ac:dyDescent="0.2">
      <c r="A25" s="192">
        <v>21</v>
      </c>
      <c r="B25" s="7">
        <v>0.1</v>
      </c>
      <c r="C25" s="194">
        <v>6.8105822993048015E-2</v>
      </c>
      <c r="D25" s="194">
        <v>9.6000691469810676E-2</v>
      </c>
      <c r="E25" s="194">
        <v>7.9809624750515562E-2</v>
      </c>
      <c r="F25" s="194">
        <v>8.0058932030593388E-2</v>
      </c>
      <c r="G25" s="194">
        <v>9.9262991628223024E-2</v>
      </c>
      <c r="J25" s="186" t="s">
        <v>198</v>
      </c>
      <c r="U25" s="188">
        <v>4</v>
      </c>
      <c r="V25" s="188" t="s">
        <v>138</v>
      </c>
      <c r="W25" s="188" t="s">
        <v>136</v>
      </c>
      <c r="X25" s="188">
        <v>3.7999999999999999E-2</v>
      </c>
      <c r="Y25" s="188">
        <v>0.371</v>
      </c>
    </row>
    <row r="26" spans="1:25" x14ac:dyDescent="0.2">
      <c r="A26" s="192">
        <v>22</v>
      </c>
      <c r="B26" s="7">
        <v>0.1</v>
      </c>
      <c r="C26" s="194">
        <v>6.8105822993048015E-2</v>
      </c>
      <c r="D26" s="194">
        <v>9.5412129713723468E-2</v>
      </c>
      <c r="E26" s="194">
        <v>7.8366661914355359E-2</v>
      </c>
      <c r="F26" s="194">
        <v>8.0058932030593388E-2</v>
      </c>
      <c r="G26" s="194">
        <v>9.8825119075962017E-2</v>
      </c>
      <c r="U26" s="188">
        <v>4</v>
      </c>
      <c r="V26" s="188" t="s">
        <v>138</v>
      </c>
      <c r="W26" s="188" t="s">
        <v>137</v>
      </c>
      <c r="X26" s="188">
        <v>3.4000000000000002E-2</v>
      </c>
      <c r="Y26" s="193">
        <v>0.34699999999999998</v>
      </c>
    </row>
    <row r="27" spans="1:25" x14ac:dyDescent="0.2">
      <c r="A27" s="192">
        <v>23</v>
      </c>
      <c r="B27" s="7">
        <v>0.1</v>
      </c>
      <c r="C27" s="194">
        <v>6.8105822993048015E-2</v>
      </c>
      <c r="D27" s="194">
        <v>9.4898817561558602E-2</v>
      </c>
      <c r="E27" s="194">
        <v>7.706686121835124E-2</v>
      </c>
      <c r="F27" s="194">
        <v>8.0058932030593388E-2</v>
      </c>
      <c r="G27" s="194">
        <v>9.8424494590979697E-2</v>
      </c>
      <c r="U27" s="184">
        <v>4</v>
      </c>
      <c r="V27" s="185" t="s">
        <v>139</v>
      </c>
      <c r="W27" s="184" t="s">
        <v>136</v>
      </c>
      <c r="X27" s="184">
        <v>3.1E-2</v>
      </c>
      <c r="Y27" s="184">
        <v>0.34499999999999997</v>
      </c>
    </row>
    <row r="28" spans="1:25" x14ac:dyDescent="0.2">
      <c r="A28" s="192">
        <v>24</v>
      </c>
      <c r="B28" s="7">
        <v>0.1</v>
      </c>
      <c r="C28" s="194">
        <v>6.8105822993048015E-2</v>
      </c>
      <c r="D28" s="194">
        <v>9.4450486621323188E-2</v>
      </c>
      <c r="E28" s="194">
        <v>7.5894311476256984E-2</v>
      </c>
      <c r="F28" s="194">
        <v>8.0058932030593388E-2</v>
      </c>
      <c r="G28" s="194">
        <v>9.8024822631969571E-2</v>
      </c>
      <c r="U28" s="188">
        <v>4</v>
      </c>
      <c r="V28" s="187" t="s">
        <v>139</v>
      </c>
      <c r="W28" s="188" t="s">
        <v>137</v>
      </c>
      <c r="X28" s="187">
        <v>3.2000000000000001E-2</v>
      </c>
      <c r="Y28" s="187">
        <v>0.34699999999999998</v>
      </c>
    </row>
    <row r="29" spans="1:25" x14ac:dyDescent="0.2">
      <c r="A29" s="192">
        <v>25</v>
      </c>
      <c r="B29" s="7">
        <v>0.1</v>
      </c>
      <c r="C29" s="194">
        <v>6.8105822993048015E-2</v>
      </c>
      <c r="D29" s="194">
        <v>9.4058416356463545E-2</v>
      </c>
      <c r="E29" s="194">
        <v>7.4835140843467873E-2</v>
      </c>
      <c r="F29" s="194">
        <v>7.9463015121795891E-2</v>
      </c>
      <c r="G29" s="194">
        <v>9.7678673198336119E-2</v>
      </c>
      <c r="J29" s="4"/>
      <c r="K29" s="4"/>
    </row>
    <row r="30" spans="1:25" x14ac:dyDescent="0.2">
      <c r="A30" s="192">
        <v>26</v>
      </c>
      <c r="B30" s="7">
        <v>0.1</v>
      </c>
      <c r="C30" s="194">
        <v>6.8105822993048015E-2</v>
      </c>
      <c r="D30" s="194">
        <v>9.3715168190158946E-2</v>
      </c>
      <c r="E30" s="194">
        <v>7.3877213915498091E-2</v>
      </c>
      <c r="F30" s="194">
        <v>7.8537489369529881E-2</v>
      </c>
      <c r="G30" s="194">
        <v>9.7378574699207784E-2</v>
      </c>
    </row>
    <row r="31" spans="1:25" x14ac:dyDescent="0.2">
      <c r="A31" s="192">
        <v>27</v>
      </c>
      <c r="B31" s="7">
        <v>0.1</v>
      </c>
      <c r="C31" s="194">
        <v>6.8105822993048015E-2</v>
      </c>
      <c r="D31" s="194">
        <v>9.3414372293858225E-2</v>
      </c>
      <c r="E31" s="194">
        <v>7.3009880039137887E-2</v>
      </c>
      <c r="F31" s="194">
        <v>7.7689142248065876E-2</v>
      </c>
      <c r="G31" s="194">
        <v>9.7118171916018958E-2</v>
      </c>
    </row>
    <row r="32" spans="1:25" x14ac:dyDescent="0.2">
      <c r="A32" s="192">
        <v>28</v>
      </c>
      <c r="B32" s="7">
        <v>0.1</v>
      </c>
      <c r="C32" s="194">
        <v>6.8105822993048015E-2</v>
      </c>
      <c r="D32" s="194">
        <v>9.315055515507295E-2</v>
      </c>
      <c r="E32" s="194">
        <v>7.2223763218859746E-2</v>
      </c>
      <c r="F32" s="194">
        <v>7.6910234291359236E-2</v>
      </c>
      <c r="G32" s="194">
        <v>9.6892041760023168E-2</v>
      </c>
    </row>
    <row r="33" spans="1:26" x14ac:dyDescent="0.2">
      <c r="A33" s="192">
        <v>29</v>
      </c>
      <c r="B33" s="7">
        <v>0.1</v>
      </c>
      <c r="C33" s="194">
        <v>6.8105822993048015E-2</v>
      </c>
      <c r="D33" s="194">
        <v>9.2918999019060602E-2</v>
      </c>
      <c r="E33" s="194">
        <v>7.1510585968518739E-2</v>
      </c>
      <c r="F33" s="194">
        <v>7.6193981615026052E-2</v>
      </c>
      <c r="G33" s="194">
        <v>9.6695543464873746E-2</v>
      </c>
    </row>
    <row r="34" spans="1:26" x14ac:dyDescent="0.2">
      <c r="A34" s="192">
        <v>30</v>
      </c>
      <c r="B34" s="7">
        <v>0.1</v>
      </c>
      <c r="C34" s="194">
        <v>6.8105822993048015E-2</v>
      </c>
      <c r="E34" s="194">
        <v>7.0863020992914208E-2</v>
      </c>
      <c r="F34" s="194">
        <v>7.5534413058793368E-2</v>
      </c>
      <c r="G34" s="194"/>
    </row>
    <row r="35" spans="1:26" x14ac:dyDescent="0.2">
      <c r="A35" s="192">
        <v>31</v>
      </c>
      <c r="B35" s="7">
        <v>0.1</v>
      </c>
      <c r="C35" s="194">
        <v>6.8105822993048015E-2</v>
      </c>
      <c r="E35" s="194">
        <v>7.0274565786950821E-2</v>
      </c>
      <c r="F35" s="194">
        <v>7.4926252315742806E-2</v>
      </c>
      <c r="G35" s="194"/>
    </row>
    <row r="36" spans="1:26" x14ac:dyDescent="0.2">
      <c r="A36" s="192">
        <v>32</v>
      </c>
      <c r="B36" s="7">
        <v>0.1</v>
      </c>
      <c r="C36" s="194">
        <v>6.8105822993048001E-2</v>
      </c>
      <c r="E36" s="194">
        <v>6.9739436188339304E-2</v>
      </c>
      <c r="F36" s="194">
        <v>7.4364820086251851E-2</v>
      </c>
      <c r="G36" s="194"/>
    </row>
    <row r="37" spans="1:26" ht="15" x14ac:dyDescent="0.2">
      <c r="A37" s="7"/>
      <c r="B37" s="7"/>
      <c r="V37" s="174" t="s">
        <v>55</v>
      </c>
    </row>
    <row r="38" spans="1:26" x14ac:dyDescent="0.2">
      <c r="A38" s="7"/>
      <c r="B38" s="7"/>
      <c r="C38" s="7"/>
      <c r="D38" s="7"/>
    </row>
    <row r="39" spans="1:26" x14ac:dyDescent="0.2">
      <c r="A39" s="7"/>
      <c r="B39" s="7"/>
      <c r="C39" s="7"/>
      <c r="D39" s="7"/>
      <c r="U39" s="126"/>
      <c r="V39" s="126"/>
      <c r="W39" s="127" t="s">
        <v>128</v>
      </c>
      <c r="X39" s="127"/>
      <c r="Y39" s="126"/>
      <c r="Z39" s="126"/>
    </row>
    <row r="40" spans="1:26" x14ac:dyDescent="0.2">
      <c r="A40" s="7"/>
      <c r="B40" s="7"/>
      <c r="C40" s="7"/>
      <c r="D40" s="7"/>
      <c r="U40" s="126"/>
      <c r="V40" s="128" t="s">
        <v>129</v>
      </c>
      <c r="W40" s="126"/>
      <c r="X40" s="126"/>
      <c r="Y40" s="126"/>
      <c r="Z40" s="126"/>
    </row>
    <row r="41" spans="1:26" x14ac:dyDescent="0.2">
      <c r="A41" s="7"/>
      <c r="B41" s="7"/>
      <c r="C41" s="7"/>
      <c r="D41" s="7"/>
      <c r="U41" s="129" t="s">
        <v>130</v>
      </c>
      <c r="V41" s="130" t="s">
        <v>131</v>
      </c>
      <c r="W41" s="129" t="s">
        <v>132</v>
      </c>
      <c r="X41" s="129" t="s">
        <v>210</v>
      </c>
      <c r="Y41" s="129" t="s">
        <v>133</v>
      </c>
      <c r="Z41" s="129" t="s">
        <v>134</v>
      </c>
    </row>
    <row r="42" spans="1:26" x14ac:dyDescent="0.2">
      <c r="A42" s="7"/>
      <c r="B42" s="7"/>
      <c r="C42" s="7"/>
      <c r="D42" s="7"/>
      <c r="U42" s="134">
        <v>4</v>
      </c>
      <c r="V42" s="128" t="s">
        <v>211</v>
      </c>
      <c r="W42" s="128" t="s">
        <v>136</v>
      </c>
      <c r="X42" s="126" t="s">
        <v>212</v>
      </c>
      <c r="Y42" s="134" t="s">
        <v>184</v>
      </c>
      <c r="Z42" s="135" t="s">
        <v>184</v>
      </c>
    </row>
    <row r="43" spans="1:26" x14ac:dyDescent="0.2">
      <c r="A43" s="7"/>
      <c r="B43" s="7"/>
      <c r="C43" s="7"/>
      <c r="D43" s="7"/>
      <c r="U43" s="131">
        <v>4</v>
      </c>
      <c r="V43" s="132" t="s">
        <v>211</v>
      </c>
      <c r="W43" s="132" t="s">
        <v>136</v>
      </c>
      <c r="X43" s="136" t="s">
        <v>213</v>
      </c>
      <c r="Y43" s="131">
        <v>6.6000000000000003E-2</v>
      </c>
      <c r="Z43" s="133">
        <v>0.443</v>
      </c>
    </row>
    <row r="44" spans="1:26" x14ac:dyDescent="0.2">
      <c r="A44" s="7"/>
      <c r="B44" s="7"/>
      <c r="C44" s="7"/>
      <c r="D44" s="7"/>
      <c r="U44" s="134">
        <v>4</v>
      </c>
      <c r="V44" s="128" t="s">
        <v>211</v>
      </c>
      <c r="W44" s="128" t="s">
        <v>137</v>
      </c>
      <c r="X44" s="126" t="s">
        <v>212</v>
      </c>
      <c r="Y44" s="134" t="s">
        <v>184</v>
      </c>
      <c r="Z44" s="135" t="s">
        <v>184</v>
      </c>
    </row>
    <row r="45" spans="1:26" x14ac:dyDescent="0.2">
      <c r="U45" s="134">
        <v>4</v>
      </c>
      <c r="V45" s="128" t="s">
        <v>211</v>
      </c>
      <c r="W45" s="128" t="s">
        <v>137</v>
      </c>
      <c r="X45" s="137" t="s">
        <v>213</v>
      </c>
      <c r="Y45" s="134">
        <v>0.111</v>
      </c>
      <c r="Z45" s="135">
        <v>0.63300000000000001</v>
      </c>
    </row>
    <row r="46" spans="1:26" x14ac:dyDescent="0.2">
      <c r="U46" s="134">
        <v>4</v>
      </c>
      <c r="V46" s="128" t="s">
        <v>214</v>
      </c>
      <c r="W46" s="128" t="s">
        <v>136</v>
      </c>
      <c r="X46" s="137" t="s">
        <v>212</v>
      </c>
      <c r="Y46" s="128">
        <v>-0.156</v>
      </c>
      <c r="Z46" s="204" t="s">
        <v>184</v>
      </c>
    </row>
    <row r="47" spans="1:26" x14ac:dyDescent="0.2">
      <c r="U47" s="131">
        <v>4</v>
      </c>
      <c r="V47" s="132" t="s">
        <v>214</v>
      </c>
      <c r="W47" s="132" t="s">
        <v>136</v>
      </c>
      <c r="X47" s="136" t="s">
        <v>213</v>
      </c>
      <c r="Y47" s="131">
        <v>6.2E-2</v>
      </c>
      <c r="Z47" s="133">
        <v>0.52200000000000002</v>
      </c>
    </row>
    <row r="48" spans="1:26" x14ac:dyDescent="0.2">
      <c r="U48" s="134">
        <v>4</v>
      </c>
      <c r="V48" s="128" t="s">
        <v>214</v>
      </c>
      <c r="W48" s="128" t="s">
        <v>137</v>
      </c>
      <c r="X48" s="126" t="s">
        <v>212</v>
      </c>
      <c r="Y48" s="134" t="s">
        <v>184</v>
      </c>
      <c r="Z48" s="135" t="s">
        <v>184</v>
      </c>
    </row>
    <row r="49" spans="21:26" x14ac:dyDescent="0.2">
      <c r="U49" s="131">
        <v>4</v>
      </c>
      <c r="V49" s="132" t="s">
        <v>214</v>
      </c>
      <c r="W49" s="132" t="s">
        <v>137</v>
      </c>
      <c r="X49" s="136" t="s">
        <v>213</v>
      </c>
      <c r="Y49" s="131">
        <v>9.0999999999999998E-2</v>
      </c>
      <c r="Z49" s="133">
        <v>0.68100000000000005</v>
      </c>
    </row>
  </sheetData>
  <pageMargins left="0.75" right="0.75" top="1" bottom="1" header="0.5" footer="0.5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Catches</vt:lpstr>
      <vt:lpstr>Indices</vt:lpstr>
      <vt:lpstr>Biology table</vt:lpstr>
      <vt:lpstr>Life history</vt:lpstr>
      <vt:lpstr>M and steepness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 cortes</dc:creator>
  <cp:lastModifiedBy>enric cortes</cp:lastModifiedBy>
  <dcterms:created xsi:type="dcterms:W3CDTF">2017-05-08T19:36:51Z</dcterms:created>
  <dcterms:modified xsi:type="dcterms:W3CDTF">2017-05-23T19:18:30Z</dcterms:modified>
</cp:coreProperties>
</file>